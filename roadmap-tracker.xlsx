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ask Tracker" sheetId="2" state="visible" r:id="rId2"/>
    <sheet xmlns:r="http://schemas.openxmlformats.org/officeDocument/2006/relationships" name="Weekly Log" sheetId="3" state="visible" r:id="rId3"/>
    <sheet xmlns:r="http://schemas.openxmlformats.org/officeDocument/2006/relationships" name="Projects" sheetId="4" state="visible" r:id="rId4"/>
    <sheet xmlns:r="http://schemas.openxmlformats.org/officeDocument/2006/relationships" name="Interview Pre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 MMM YYYY"/>
    <numFmt numFmtId="165" formatCode="DD-MMM-YY"/>
    <numFmt numFmtId="166" formatCode="0.0"/>
  </numFmts>
  <fonts count="4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E8EAF6"/>
      <sz val="12"/>
    </font>
    <font>
      <name val="Calibri"/>
      <b val="1"/>
      <color rgb="001A237E"/>
      <sz val="12"/>
    </font>
    <font>
      <name val="Calibri"/>
      <b val="1"/>
      <color rgb="001976D2"/>
      <sz val="14"/>
    </font>
    <font>
      <name val="Calibri"/>
      <color rgb="00616161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b val="1"/>
      <color rgb="001976D2"/>
      <sz val="11"/>
    </font>
    <font>
      <name val="Consolas"/>
      <color rgb="001976D2"/>
      <sz val="10"/>
    </font>
    <font>
      <name val="Calibri"/>
      <color rgb="00333333"/>
      <sz val="11"/>
    </font>
    <font>
      <name val="Calibri"/>
      <b val="1"/>
      <color rgb="0000897B"/>
      <sz val="11"/>
    </font>
    <font>
      <name val="Calibri"/>
      <b val="1"/>
      <color rgb="0043A047"/>
      <sz val="11"/>
    </font>
    <font>
      <name val="Calibri"/>
      <b val="1"/>
      <color rgb="008E24AA"/>
      <sz val="11"/>
    </font>
    <font>
      <name val="Calibri"/>
      <b val="1"/>
      <color rgb="003949AB"/>
      <sz val="11"/>
    </font>
    <font>
      <name val="Calibri"/>
      <b val="1"/>
      <color rgb="00FB8C00"/>
      <sz val="11"/>
    </font>
    <font>
      <name val="Calibri"/>
      <b val="1"/>
      <color rgb="00FFFFFF"/>
      <sz val="12"/>
    </font>
    <font>
      <name val="Calibri"/>
      <b val="1"/>
      <color rgb="0076FF03"/>
      <sz val="12"/>
    </font>
    <font>
      <name val="Consolas"/>
      <b val="1"/>
      <color rgb="0076FF03"/>
      <sz val="11"/>
    </font>
    <font>
      <name val="Calibri"/>
      <b val="1"/>
      <color rgb="00616161"/>
      <sz val="11"/>
    </font>
    <font>
      <name val="Calibri"/>
      <b val="1"/>
      <color rgb="00F57F17"/>
      <sz val="11"/>
    </font>
    <font>
      <name val="Calibri"/>
      <b val="1"/>
      <color rgb="001B5E20"/>
      <sz val="11"/>
    </font>
    <font>
      <name val="Calibri"/>
      <b val="1"/>
      <color rgb="00B71C1C"/>
      <sz val="11"/>
    </font>
    <font>
      <name val="Calibri"/>
      <b val="1"/>
      <color rgb="00424242"/>
      <sz val="11"/>
    </font>
    <font>
      <name val="Calibri"/>
      <b val="1"/>
      <color rgb="00FFFFFF"/>
      <sz val="18"/>
    </font>
    <font>
      <name val="Calibri"/>
      <b val="1"/>
      <color rgb="00FFFFFF"/>
      <sz val="10"/>
    </font>
    <font>
      <name val="Calibri"/>
      <color rgb="00444444"/>
      <sz val="10"/>
    </font>
    <font>
      <name val="Calibri"/>
      <b val="1"/>
      <color rgb="00222222"/>
      <sz val="10"/>
    </font>
    <font>
      <name val="Calibri"/>
      <color rgb="00444444"/>
      <sz val="9"/>
    </font>
    <font>
      <name val="Calibri"/>
      <color rgb="00555555"/>
      <sz val="10"/>
    </font>
    <font>
      <name val="Calibri"/>
      <color rgb="00777777"/>
      <sz val="10"/>
    </font>
    <font>
      <name val="Calibri"/>
      <color rgb="00555555"/>
      <sz val="9"/>
    </font>
    <font>
      <name val="Calibri"/>
      <color rgb="00333333"/>
      <sz val="9"/>
    </font>
    <font>
      <name val="Calibri"/>
      <b val="1"/>
      <color rgb="00FFFFFF"/>
      <sz val="9"/>
    </font>
    <font>
      <name val="Calibri"/>
      <color rgb="001B5E20"/>
      <sz val="10"/>
    </font>
    <font>
      <name val="Calibri"/>
      <color rgb="00B71C1C"/>
      <sz val="10"/>
    </font>
    <font>
      <name val="Calibri"/>
      <b val="1"/>
      <color rgb="0076FF03"/>
      <sz val="14"/>
    </font>
    <font>
      <name val="Calibri"/>
      <b val="1"/>
      <color rgb="00FFFFFF"/>
      <sz val="14"/>
    </font>
    <font>
      <name val="Calibri"/>
      <color rgb="00222222"/>
      <sz val="10"/>
    </font>
    <font>
      <name val="Calibri"/>
      <b val="1"/>
      <color rgb="00FFFFFF"/>
      <sz val="17"/>
    </font>
  </fonts>
  <fills count="3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  <fill>
      <patternFill patternType="solid">
        <fgColor rgb="0037474F"/>
        <bgColor rgb="0037474F"/>
      </patternFill>
    </fill>
    <fill>
      <patternFill patternType="solid">
        <fgColor rgb="001976D2"/>
        <bgColor rgb="001976D2"/>
      </patternFill>
    </fill>
    <fill>
      <patternFill patternType="solid">
        <fgColor rgb="00DDEEFF"/>
        <bgColor rgb="00DDEEFF"/>
      </patternFill>
    </fill>
    <fill>
      <patternFill patternType="solid">
        <fgColor rgb="00F5F5F5"/>
        <bgColor rgb="00F5F5F5"/>
      </patternFill>
    </fill>
    <fill>
      <patternFill patternType="solid">
        <fgColor rgb="0000897B"/>
        <bgColor rgb="0000897B"/>
      </patternFill>
    </fill>
    <fill>
      <patternFill patternType="solid">
        <fgColor rgb="00D4F0EC"/>
        <bgColor rgb="00D4F0EC"/>
      </patternFill>
    </fill>
    <fill>
      <patternFill patternType="solid">
        <fgColor rgb="0043A047"/>
        <bgColor rgb="0043A047"/>
      </patternFill>
    </fill>
    <fill>
      <patternFill patternType="solid">
        <fgColor rgb="00DCF0DC"/>
        <bgColor rgb="00DCF0DC"/>
      </patternFill>
    </fill>
    <fill>
      <patternFill patternType="solid">
        <fgColor rgb="008E24AA"/>
        <bgColor rgb="008E24AA"/>
      </patternFill>
    </fill>
    <fill>
      <patternFill patternType="solid">
        <fgColor rgb="00F0E0F5"/>
        <bgColor rgb="00F0E0F5"/>
      </patternFill>
    </fill>
    <fill>
      <patternFill patternType="solid">
        <fgColor rgb="003949AB"/>
        <bgColor rgb="003949AB"/>
      </patternFill>
    </fill>
    <fill>
      <patternFill patternType="solid">
        <fgColor rgb="00E0E4F5"/>
        <bgColor rgb="00E0E4F5"/>
      </patternFill>
    </fill>
    <fill>
      <patternFill patternType="solid">
        <fgColor rgb="00FB8C00"/>
        <bgColor rgb="00FB8C00"/>
      </patternFill>
    </fill>
    <fill>
      <patternFill patternType="solid">
        <fgColor rgb="00FFF0D4"/>
        <bgColor rgb="00FFF0D4"/>
      </patternFill>
    </fill>
    <fill>
      <patternFill patternType="solid">
        <fgColor rgb="00455A64"/>
        <bgColor rgb="00455A64"/>
      </patternFill>
    </fill>
    <fill>
      <patternFill patternType="solid">
        <fgColor rgb="00546E7A"/>
        <bgColor rgb="00546E7A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E0E0E0"/>
        <bgColor rgb="00E0E0E0"/>
      </patternFill>
    </fill>
    <fill>
      <patternFill patternType="solid">
        <fgColor rgb="00FAFAFA"/>
        <bgColor rgb="00FAFAFA"/>
      </patternFill>
    </fill>
    <fill>
      <patternFill patternType="solid">
        <fgColor rgb="00FFFFFF"/>
        <bgColor rgb="00FFFFFF"/>
      </patternFill>
    </fill>
    <fill>
      <patternFill patternType="solid">
        <fgColor rgb="00FFFDE7"/>
        <bgColor rgb="00FFFDE7"/>
      </patternFill>
    </fill>
    <fill>
      <patternFill patternType="solid">
        <fgColor rgb="00E65100"/>
        <bgColor rgb="00E65100"/>
      </patternFill>
    </fill>
    <fill>
      <patternFill patternType="solid">
        <fgColor rgb="00F1F8E9"/>
        <bgColor rgb="00F1F8E9"/>
      </patternFill>
    </fill>
    <fill>
      <patternFill patternType="solid">
        <fgColor rgb="00FFF3E0"/>
        <bgColor rgb="00FFF3E0"/>
      </patternFill>
    </fill>
    <fill>
      <patternFill patternType="solid">
        <fgColor rgb="00E8EAF6"/>
        <bgColor rgb="00E8EAF6"/>
      </patternFill>
    </fill>
    <fill>
      <patternFill patternType="solid">
        <fgColor rgb="00E3F2FD"/>
        <bgColor rgb="00E3F2FD"/>
      </patternFill>
    </fill>
    <fill>
      <patternFill patternType="solid">
        <fgColor rgb="00263238"/>
        <bgColor rgb="00263238"/>
      </patternFill>
    </fill>
    <fill>
      <patternFill patternType="solid">
        <fgColor rgb="004A148C"/>
        <bgColor rgb="004A148C"/>
      </patternFill>
    </fill>
    <fill>
      <patternFill patternType="solid">
        <fgColor rgb="001565C0"/>
        <bgColor rgb="001565C0"/>
      </patternFill>
    </fill>
  </fills>
  <borders count="16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medium">
        <color rgb="00283593"/>
      </left>
      <right style="medium">
        <color rgb="00283593"/>
      </right>
      <top style="medium">
        <color rgb="00283593"/>
      </top>
      <bottom style="medium">
        <color rgb="00283593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546E7A"/>
      </left>
      <right style="thin">
        <color rgb="00546E7A"/>
      </right>
      <top style="thin">
        <color rgb="00546E7A"/>
      </top>
      <bottom style="thin">
        <color rgb="00546E7A"/>
      </bottom>
    </border>
    <border>
      <left style="thin">
        <color rgb="001976D2"/>
      </left>
      <right style="thin">
        <color rgb="001976D2"/>
      </right>
      <top style="thin">
        <color rgb="001976D2"/>
      </top>
      <bottom style="thin">
        <color rgb="001976D2"/>
      </bottom>
    </border>
    <border>
      <left style="thin">
        <color rgb="0000897B"/>
      </left>
      <right style="thin">
        <color rgb="0000897B"/>
      </right>
      <top style="thin">
        <color rgb="0000897B"/>
      </top>
      <bottom style="thin">
        <color rgb="0000897B"/>
      </bottom>
    </border>
    <border>
      <left style="thin">
        <color rgb="0043A047"/>
      </left>
      <right style="thin">
        <color rgb="0043A047"/>
      </right>
      <top style="thin">
        <color rgb="0043A047"/>
      </top>
      <bottom style="thin">
        <color rgb="0043A047"/>
      </bottom>
    </border>
    <border>
      <left style="thin">
        <color rgb="008E24AA"/>
      </left>
      <right style="thin">
        <color rgb="008E24AA"/>
      </right>
      <top style="thin">
        <color rgb="008E24AA"/>
      </top>
      <bottom style="thin">
        <color rgb="008E24AA"/>
      </bottom>
    </border>
    <border>
      <left style="thin">
        <color rgb="003949AB"/>
      </left>
      <right style="thin">
        <color rgb="003949AB"/>
      </right>
      <top style="thin">
        <color rgb="003949AB"/>
      </top>
      <bottom style="thin">
        <color rgb="003949AB"/>
      </bottom>
    </border>
    <border>
      <left style="thin">
        <color rgb="00FB8C00"/>
      </left>
      <right style="thin">
        <color rgb="00FB8C00"/>
      </right>
      <top style="thin">
        <color rgb="00FB8C00"/>
      </top>
      <bottom style="thin">
        <color rgb="00FB8C00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0D47A1"/>
      </left>
      <right style="thin">
        <color rgb="000D47A1"/>
      </right>
      <top style="thin">
        <color rgb="000D47A1"/>
      </top>
      <bottom style="thin">
        <color rgb="000D47A1"/>
      </bottom>
    </border>
    <border>
      <left style="thin">
        <color rgb="001A237E"/>
      </left>
      <right style="thin">
        <color rgb="001A237E"/>
      </right>
      <top style="thin">
        <color rgb="001A237E"/>
      </top>
      <bottom style="thin">
        <color rgb="001A237E"/>
      </bottom>
    </border>
    <border>
      <left style="thin">
        <color rgb="00283593"/>
      </left>
      <right style="thin">
        <color rgb="00283593"/>
      </right>
      <top style="thin">
        <color rgb="00283593"/>
      </top>
      <bottom style="thin">
        <color rgb="00283593"/>
      </bottom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9" fontId="4" fillId="0" borderId="4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left" vertical="center" wrapText="1"/>
    </xf>
    <xf numFmtId="0" fontId="6" fillId="4" borderId="5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left" vertical="center" wrapText="1"/>
    </xf>
    <xf numFmtId="0" fontId="7" fillId="6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/>
    </xf>
    <xf numFmtId="0" fontId="9" fillId="6" borderId="4" applyAlignment="1" pivotButton="0" quotePrefix="0" xfId="0">
      <alignment horizontal="center" vertical="center" wrapText="1"/>
    </xf>
    <xf numFmtId="9" fontId="10" fillId="6" borderId="4" applyAlignment="1" pivotButton="0" quotePrefix="0" xfId="0">
      <alignment horizontal="center" vertical="center" wrapText="1"/>
    </xf>
    <xf numFmtId="0" fontId="11" fillId="7" borderId="4" applyAlignment="1" pivotButton="0" quotePrefix="0" xfId="0">
      <alignment horizontal="left" vertical="center"/>
    </xf>
    <xf numFmtId="0" fontId="12" fillId="6" borderId="4" applyAlignment="1" pivotButton="0" quotePrefix="0" xfId="0">
      <alignment horizontal="center" vertical="center" wrapText="1"/>
    </xf>
    <xf numFmtId="0" fontId="6" fillId="8" borderId="7" applyAlignment="1" pivotButton="0" quotePrefix="0" xfId="0">
      <alignment horizontal="left" vertical="center" wrapText="1"/>
    </xf>
    <xf numFmtId="0" fontId="7" fillId="9" borderId="4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left" vertical="center" wrapText="1"/>
    </xf>
    <xf numFmtId="0" fontId="9" fillId="9" borderId="4" applyAlignment="1" pivotButton="0" quotePrefix="0" xfId="0">
      <alignment horizontal="center" vertical="center" wrapText="1"/>
    </xf>
    <xf numFmtId="9" fontId="13" fillId="9" borderId="4" applyAlignment="1" pivotButton="0" quotePrefix="0" xfId="0">
      <alignment horizontal="center" vertical="center" wrapText="1"/>
    </xf>
    <xf numFmtId="0" fontId="12" fillId="9" borderId="4" applyAlignment="1" pivotButton="0" quotePrefix="0" xfId="0">
      <alignment horizontal="center" vertical="center" wrapText="1"/>
    </xf>
    <xf numFmtId="0" fontId="6" fillId="10" borderId="8" applyAlignment="1" pivotButton="0" quotePrefix="0" xfId="0">
      <alignment horizontal="left" vertical="center" wrapText="1"/>
    </xf>
    <xf numFmtId="0" fontId="7" fillId="11" borderId="4" applyAlignment="1" pivotButton="0" quotePrefix="0" xfId="0">
      <alignment horizontal="center" vertical="center" wrapText="1"/>
    </xf>
    <xf numFmtId="0" fontId="8" fillId="11" borderId="4" applyAlignment="1" pivotButton="0" quotePrefix="0" xfId="0">
      <alignment horizontal="left" vertical="center" wrapText="1"/>
    </xf>
    <xf numFmtId="0" fontId="9" fillId="11" borderId="4" applyAlignment="1" pivotButton="0" quotePrefix="0" xfId="0">
      <alignment horizontal="center" vertical="center" wrapText="1"/>
    </xf>
    <xf numFmtId="9" fontId="14" fillId="11" borderId="4" applyAlignment="1" pivotButton="0" quotePrefix="0" xfId="0">
      <alignment horizontal="center" vertical="center" wrapText="1"/>
    </xf>
    <xf numFmtId="0" fontId="12" fillId="11" borderId="4" applyAlignment="1" pivotButton="0" quotePrefix="0" xfId="0">
      <alignment horizontal="center" vertical="center" wrapText="1"/>
    </xf>
    <xf numFmtId="0" fontId="6" fillId="12" borderId="9" applyAlignment="1" pivotButton="0" quotePrefix="0" xfId="0">
      <alignment horizontal="left" vertical="center" wrapText="1"/>
    </xf>
    <xf numFmtId="0" fontId="7" fillId="13" borderId="4" applyAlignment="1" pivotButton="0" quotePrefix="0" xfId="0">
      <alignment horizontal="center" vertical="center" wrapText="1"/>
    </xf>
    <xf numFmtId="0" fontId="8" fillId="13" borderId="4" applyAlignment="1" pivotButton="0" quotePrefix="0" xfId="0">
      <alignment horizontal="left" vertical="center" wrapText="1"/>
    </xf>
    <xf numFmtId="0" fontId="9" fillId="13" borderId="4" applyAlignment="1" pivotButton="0" quotePrefix="0" xfId="0">
      <alignment horizontal="center" vertical="center" wrapText="1"/>
    </xf>
    <xf numFmtId="9" fontId="15" fillId="13" borderId="4" applyAlignment="1" pivotButton="0" quotePrefix="0" xfId="0">
      <alignment horizontal="center" vertical="center" wrapText="1"/>
    </xf>
    <xf numFmtId="0" fontId="12" fillId="13" borderId="4" applyAlignment="1" pivotButton="0" quotePrefix="0" xfId="0">
      <alignment horizontal="center" vertical="center" wrapText="1"/>
    </xf>
    <xf numFmtId="0" fontId="6" fillId="14" borderId="10" applyAlignment="1" pivotButton="0" quotePrefix="0" xfId="0">
      <alignment horizontal="left" vertical="center" wrapText="1"/>
    </xf>
    <xf numFmtId="0" fontId="7" fillId="15" borderId="4" applyAlignment="1" pivotButton="0" quotePrefix="0" xfId="0">
      <alignment horizontal="center" vertical="center" wrapText="1"/>
    </xf>
    <xf numFmtId="0" fontId="8" fillId="15" borderId="4" applyAlignment="1" pivotButton="0" quotePrefix="0" xfId="0">
      <alignment horizontal="left" vertical="center" wrapText="1"/>
    </xf>
    <xf numFmtId="0" fontId="9" fillId="15" borderId="4" applyAlignment="1" pivotButton="0" quotePrefix="0" xfId="0">
      <alignment horizontal="center" vertical="center" wrapText="1"/>
    </xf>
    <xf numFmtId="9" fontId="16" fillId="15" borderId="4" applyAlignment="1" pivotButton="0" quotePrefix="0" xfId="0">
      <alignment horizontal="center" vertical="center" wrapText="1"/>
    </xf>
    <xf numFmtId="0" fontId="12" fillId="15" borderId="4" applyAlignment="1" pivotButton="0" quotePrefix="0" xfId="0">
      <alignment horizontal="center" vertical="center" wrapText="1"/>
    </xf>
    <xf numFmtId="0" fontId="6" fillId="16" borderId="11" applyAlignment="1" pivotButton="0" quotePrefix="0" xfId="0">
      <alignment horizontal="left" vertical="center" wrapText="1"/>
    </xf>
    <xf numFmtId="0" fontId="7" fillId="17" borderId="4" applyAlignment="1" pivotButton="0" quotePrefix="0" xfId="0">
      <alignment horizontal="center" vertical="center" wrapText="1"/>
    </xf>
    <xf numFmtId="0" fontId="8" fillId="17" borderId="4" applyAlignment="1" pivotButton="0" quotePrefix="0" xfId="0">
      <alignment horizontal="left" vertical="center" wrapText="1"/>
    </xf>
    <xf numFmtId="0" fontId="9" fillId="17" borderId="4" applyAlignment="1" pivotButton="0" quotePrefix="0" xfId="0">
      <alignment horizontal="center" vertical="center" wrapText="1"/>
    </xf>
    <xf numFmtId="9" fontId="17" fillId="17" borderId="4" applyAlignment="1" pivotButton="0" quotePrefix="0" xfId="0">
      <alignment horizontal="center" vertical="center" wrapText="1"/>
    </xf>
    <xf numFmtId="0" fontId="12" fillId="17" borderId="4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8" fillId="18" borderId="5" applyAlignment="1" pivotButton="0" quotePrefix="0" xfId="0">
      <alignment horizontal="center" vertical="center" wrapText="1"/>
    </xf>
    <xf numFmtId="9" fontId="19" fillId="18" borderId="5" applyAlignment="1" pivotButton="0" quotePrefix="0" xfId="0">
      <alignment horizontal="center" vertical="center" wrapText="1"/>
    </xf>
    <xf numFmtId="0" fontId="20" fillId="4" borderId="5" applyAlignment="1" pivotButton="0" quotePrefix="0" xfId="0">
      <alignment horizontal="left" vertical="center"/>
    </xf>
    <xf numFmtId="0" fontId="6" fillId="19" borderId="1" applyAlignment="1" pivotButton="0" quotePrefix="0" xfId="0">
      <alignment horizontal="center" vertical="center" wrapText="1"/>
    </xf>
    <xf numFmtId="0" fontId="21" fillId="7" borderId="12" applyAlignment="1" pivotButton="0" quotePrefix="0" xfId="0">
      <alignment horizontal="center" vertical="center" wrapText="1"/>
    </xf>
    <xf numFmtId="0" fontId="22" fillId="20" borderId="12" applyAlignment="1" pivotButton="0" quotePrefix="0" xfId="0">
      <alignment horizontal="center" vertical="center" wrapText="1"/>
    </xf>
    <xf numFmtId="0" fontId="23" fillId="21" borderId="12" applyAlignment="1" pivotButton="0" quotePrefix="0" xfId="0">
      <alignment horizontal="center" vertical="center" wrapText="1"/>
    </xf>
    <xf numFmtId="0" fontId="24" fillId="22" borderId="12" applyAlignment="1" pivotButton="0" quotePrefix="0" xfId="0">
      <alignment horizontal="center" vertical="center" wrapText="1"/>
    </xf>
    <xf numFmtId="0" fontId="25" fillId="23" borderId="12" applyAlignment="1" pivotButton="0" quotePrefix="0" xfId="0">
      <alignment horizontal="center" vertical="center" wrapText="1"/>
    </xf>
    <xf numFmtId="0" fontId="26" fillId="2" borderId="1" applyAlignment="1" pivotButton="0" quotePrefix="0" xfId="0">
      <alignment horizontal="center" vertical="center" wrapText="1"/>
    </xf>
    <xf numFmtId="0" fontId="27" fillId="5" borderId="6" applyAlignment="1" pivotButton="0" quotePrefix="0" xfId="0">
      <alignment horizontal="center" vertical="center" wrapText="1"/>
    </xf>
    <xf numFmtId="0" fontId="27" fillId="5" borderId="6" applyAlignment="1" pivotButton="0" quotePrefix="0" xfId="0">
      <alignment horizontal="left" vertical="center" wrapText="1"/>
    </xf>
    <xf numFmtId="0" fontId="28" fillId="6" borderId="4" applyAlignment="1" pivotButton="0" quotePrefix="0" xfId="0">
      <alignment horizontal="center" vertical="center" wrapText="1"/>
    </xf>
    <xf numFmtId="0" fontId="28" fillId="6" borderId="4" applyAlignment="1" pivotButton="0" quotePrefix="0" xfId="0">
      <alignment horizontal="left" vertical="center" wrapText="1"/>
    </xf>
    <xf numFmtId="0" fontId="29" fillId="6" borderId="4" applyAlignment="1" pivotButton="0" quotePrefix="0" xfId="0">
      <alignment horizontal="left" vertical="center" wrapText="1"/>
    </xf>
    <xf numFmtId="0" fontId="30" fillId="24" borderId="4" applyAlignment="1" pivotButton="0" quotePrefix="0" xfId="0">
      <alignment horizontal="left" vertical="center" wrapText="1"/>
    </xf>
    <xf numFmtId="0" fontId="31" fillId="25" borderId="4" applyAlignment="1" pivotButton="0" quotePrefix="0" xfId="0">
      <alignment horizontal="center" vertical="center" wrapText="1"/>
    </xf>
    <xf numFmtId="0" fontId="32" fillId="7" borderId="4" applyAlignment="1" pivotButton="0" quotePrefix="0" xfId="0">
      <alignment horizontal="center" vertical="center" wrapText="1"/>
    </xf>
    <xf numFmtId="165" fontId="31" fillId="25" borderId="4" applyAlignment="1" pivotButton="0" quotePrefix="0" xfId="0">
      <alignment horizontal="center" vertical="center" wrapText="1"/>
    </xf>
    <xf numFmtId="0" fontId="33" fillId="26" borderId="4" applyAlignment="1" pivotButton="0" quotePrefix="0" xfId="0">
      <alignment horizontal="left" vertical="center" wrapText="1"/>
    </xf>
    <xf numFmtId="0" fontId="27" fillId="8" borderId="7" applyAlignment="1" pivotButton="0" quotePrefix="0" xfId="0">
      <alignment horizontal="center" vertical="center" wrapText="1"/>
    </xf>
    <xf numFmtId="0" fontId="27" fillId="8" borderId="7" applyAlignment="1" pivotButton="0" quotePrefix="0" xfId="0">
      <alignment horizontal="left" vertical="center" wrapText="1"/>
    </xf>
    <xf numFmtId="0" fontId="28" fillId="9" borderId="4" applyAlignment="1" pivotButton="0" quotePrefix="0" xfId="0">
      <alignment horizontal="center" vertical="center" wrapText="1"/>
    </xf>
    <xf numFmtId="0" fontId="28" fillId="9" borderId="4" applyAlignment="1" pivotButton="0" quotePrefix="0" xfId="0">
      <alignment horizontal="left" vertical="center" wrapText="1"/>
    </xf>
    <xf numFmtId="0" fontId="29" fillId="9" borderId="4" applyAlignment="1" pivotButton="0" quotePrefix="0" xfId="0">
      <alignment horizontal="left" vertical="center" wrapText="1"/>
    </xf>
    <xf numFmtId="0" fontId="27" fillId="10" borderId="8" applyAlignment="1" pivotButton="0" quotePrefix="0" xfId="0">
      <alignment horizontal="center" vertical="center" wrapText="1"/>
    </xf>
    <xf numFmtId="0" fontId="27" fillId="10" borderId="8" applyAlignment="1" pivotButton="0" quotePrefix="0" xfId="0">
      <alignment horizontal="left" vertical="center" wrapText="1"/>
    </xf>
    <xf numFmtId="0" fontId="28" fillId="11" borderId="4" applyAlignment="1" pivotButton="0" quotePrefix="0" xfId="0">
      <alignment horizontal="center" vertical="center" wrapText="1"/>
    </xf>
    <xf numFmtId="0" fontId="28" fillId="11" borderId="4" applyAlignment="1" pivotButton="0" quotePrefix="0" xfId="0">
      <alignment horizontal="left" vertical="center" wrapText="1"/>
    </xf>
    <xf numFmtId="0" fontId="29" fillId="11" borderId="4" applyAlignment="1" pivotButton="0" quotePrefix="0" xfId="0">
      <alignment horizontal="left" vertical="center" wrapText="1"/>
    </xf>
    <xf numFmtId="0" fontId="27" fillId="12" borderId="9" applyAlignment="1" pivotButton="0" quotePrefix="0" xfId="0">
      <alignment horizontal="center" vertical="center" wrapText="1"/>
    </xf>
    <xf numFmtId="0" fontId="27" fillId="12" borderId="9" applyAlignment="1" pivotButton="0" quotePrefix="0" xfId="0">
      <alignment horizontal="left" vertical="center" wrapText="1"/>
    </xf>
    <xf numFmtId="0" fontId="28" fillId="13" borderId="4" applyAlignment="1" pivotButton="0" quotePrefix="0" xfId="0">
      <alignment horizontal="center" vertical="center" wrapText="1"/>
    </xf>
    <xf numFmtId="0" fontId="28" fillId="13" borderId="4" applyAlignment="1" pivotButton="0" quotePrefix="0" xfId="0">
      <alignment horizontal="left" vertical="center" wrapText="1"/>
    </xf>
    <xf numFmtId="0" fontId="29" fillId="13" borderId="4" applyAlignment="1" pivotButton="0" quotePrefix="0" xfId="0">
      <alignment horizontal="left" vertical="center" wrapText="1"/>
    </xf>
    <xf numFmtId="0" fontId="27" fillId="14" borderId="10" applyAlignment="1" pivotButton="0" quotePrefix="0" xfId="0">
      <alignment horizontal="center" vertical="center" wrapText="1"/>
    </xf>
    <xf numFmtId="0" fontId="27" fillId="14" borderId="10" applyAlignment="1" pivotButton="0" quotePrefix="0" xfId="0">
      <alignment horizontal="left" vertical="center" wrapText="1"/>
    </xf>
    <xf numFmtId="0" fontId="28" fillId="15" borderId="4" applyAlignment="1" pivotButton="0" quotePrefix="0" xfId="0">
      <alignment horizontal="center" vertical="center" wrapText="1"/>
    </xf>
    <xf numFmtId="0" fontId="28" fillId="15" borderId="4" applyAlignment="1" pivotButton="0" quotePrefix="0" xfId="0">
      <alignment horizontal="left" vertical="center" wrapText="1"/>
    </xf>
    <xf numFmtId="0" fontId="29" fillId="15" borderId="4" applyAlignment="1" pivotButton="0" quotePrefix="0" xfId="0">
      <alignment horizontal="left" vertical="center" wrapText="1"/>
    </xf>
    <xf numFmtId="0" fontId="27" fillId="16" borderId="11" applyAlignment="1" pivotButton="0" quotePrefix="0" xfId="0">
      <alignment horizontal="center" vertical="center" wrapText="1"/>
    </xf>
    <xf numFmtId="0" fontId="27" fillId="16" borderId="11" applyAlignment="1" pivotButton="0" quotePrefix="0" xfId="0">
      <alignment horizontal="left" vertical="center" wrapText="1"/>
    </xf>
    <xf numFmtId="0" fontId="28" fillId="17" borderId="4" applyAlignment="1" pivotButton="0" quotePrefix="0" xfId="0">
      <alignment horizontal="center" vertical="center" wrapText="1"/>
    </xf>
    <xf numFmtId="0" fontId="28" fillId="17" borderId="4" applyAlignment="1" pivotButton="0" quotePrefix="0" xfId="0">
      <alignment horizontal="left" vertical="center" wrapText="1"/>
    </xf>
    <xf numFmtId="0" fontId="29" fillId="17" borderId="4" applyAlignment="1" pivotButton="0" quotePrefix="0" xfId="0">
      <alignment horizontal="left" vertical="center" wrapText="1"/>
    </xf>
    <xf numFmtId="0" fontId="26" fillId="27" borderId="1" applyAlignment="1" pivotButton="0" quotePrefix="0" xfId="0">
      <alignment horizontal="center" vertical="center" wrapText="1"/>
    </xf>
    <xf numFmtId="0" fontId="27" fillId="4" borderId="5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center" vertical="center" wrapText="1"/>
    </xf>
    <xf numFmtId="0" fontId="34" fillId="6" borderId="4" applyAlignment="1" pivotButton="0" quotePrefix="0" xfId="0">
      <alignment horizontal="center" vertical="center" wrapText="1"/>
    </xf>
    <xf numFmtId="0" fontId="35" fillId="5" borderId="6" applyAlignment="1" pivotButton="0" quotePrefix="0" xfId="0">
      <alignment horizontal="left" vertical="center" wrapText="1"/>
    </xf>
    <xf numFmtId="0" fontId="8" fillId="24" borderId="4" applyAlignment="1" pivotButton="0" quotePrefix="0" xfId="0">
      <alignment horizontal="left" vertical="center" wrapText="1"/>
    </xf>
    <xf numFmtId="0" fontId="36" fillId="28" borderId="4" applyAlignment="1" pivotButton="0" quotePrefix="0" xfId="0">
      <alignment horizontal="left" vertical="center" wrapText="1"/>
    </xf>
    <xf numFmtId="0" fontId="37" fillId="29" borderId="4" applyAlignment="1" pivotButton="0" quotePrefix="0" xfId="0">
      <alignment horizontal="left" vertical="center" wrapText="1"/>
    </xf>
    <xf numFmtId="0" fontId="8" fillId="30" borderId="4" applyAlignment="1" pivotButton="0" quotePrefix="0" xfId="0">
      <alignment horizontal="left" vertical="center" wrapText="1"/>
    </xf>
    <xf numFmtId="166" fontId="8" fillId="25" borderId="4" applyAlignment="1" pivotButton="0" quotePrefix="0" xfId="0">
      <alignment horizontal="center" vertical="center" wrapText="1"/>
    </xf>
    <xf numFmtId="0" fontId="10" fillId="31" borderId="4" applyAlignment="1" pivotButton="0" quotePrefix="0" xfId="0">
      <alignment horizontal="center" vertical="center" wrapText="1"/>
    </xf>
    <xf numFmtId="0" fontId="6" fillId="8" borderId="7" applyAlignment="1" pivotButton="0" quotePrefix="0" xfId="0">
      <alignment horizontal="center" vertical="center" wrapText="1"/>
    </xf>
    <xf numFmtId="0" fontId="34" fillId="9" borderId="4" applyAlignment="1" pivotButton="0" quotePrefix="0" xfId="0">
      <alignment horizontal="center" vertical="center" wrapText="1"/>
    </xf>
    <xf numFmtId="0" fontId="35" fillId="8" borderId="7" applyAlignment="1" pivotButton="0" quotePrefix="0" xfId="0">
      <alignment horizontal="left" vertical="center" wrapText="1"/>
    </xf>
    <xf numFmtId="0" fontId="6" fillId="10" borderId="8" applyAlignment="1" pivotButton="0" quotePrefix="0" xfId="0">
      <alignment horizontal="center" vertical="center" wrapText="1"/>
    </xf>
    <xf numFmtId="0" fontId="34" fillId="11" borderId="4" applyAlignment="1" pivotButton="0" quotePrefix="0" xfId="0">
      <alignment horizontal="center" vertical="center" wrapText="1"/>
    </xf>
    <xf numFmtId="0" fontId="35" fillId="10" borderId="8" applyAlignment="1" pivotButton="0" quotePrefix="0" xfId="0">
      <alignment horizontal="left" vertical="center" wrapText="1"/>
    </xf>
    <xf numFmtId="0" fontId="6" fillId="12" borderId="9" applyAlignment="1" pivotButton="0" quotePrefix="0" xfId="0">
      <alignment horizontal="center" vertical="center" wrapText="1"/>
    </xf>
    <xf numFmtId="0" fontId="34" fillId="13" borderId="4" applyAlignment="1" pivotButton="0" quotePrefix="0" xfId="0">
      <alignment horizontal="center" vertical="center" wrapText="1"/>
    </xf>
    <xf numFmtId="0" fontId="35" fillId="12" borderId="9" applyAlignment="1" pivotButton="0" quotePrefix="0" xfId="0">
      <alignment horizontal="left" vertical="center" wrapText="1"/>
    </xf>
    <xf numFmtId="0" fontId="6" fillId="14" borderId="10" applyAlignment="1" pivotButton="0" quotePrefix="0" xfId="0">
      <alignment horizontal="center" vertical="center" wrapText="1"/>
    </xf>
    <xf numFmtId="0" fontId="34" fillId="15" borderId="4" applyAlignment="1" pivotButton="0" quotePrefix="0" xfId="0">
      <alignment horizontal="center" vertical="center" wrapText="1"/>
    </xf>
    <xf numFmtId="0" fontId="35" fillId="14" borderId="10" applyAlignment="1" pivotButton="0" quotePrefix="0" xfId="0">
      <alignment horizontal="left" vertical="center" wrapText="1"/>
    </xf>
    <xf numFmtId="0" fontId="18" fillId="4" borderId="5" applyAlignment="1" pivotButton="0" quotePrefix="0" xfId="0">
      <alignment horizontal="left" vertical="center" wrapText="1"/>
    </xf>
    <xf numFmtId="0" fontId="38" fillId="32" borderId="5" applyAlignment="1" pivotButton="0" quotePrefix="0" xfId="0">
      <alignment horizontal="center" vertical="center" wrapText="1"/>
    </xf>
    <xf numFmtId="0" fontId="26" fillId="33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center" vertical="center" wrapText="1"/>
    </xf>
    <xf numFmtId="0" fontId="39" fillId="14" borderId="1" applyAlignment="1" pivotButton="0" quotePrefix="0" xfId="0">
      <alignment horizontal="center" vertical="center" wrapText="1"/>
    </xf>
    <xf numFmtId="0" fontId="27" fillId="34" borderId="13" applyAlignment="1" pivotButton="0" quotePrefix="0" xfId="0">
      <alignment horizontal="center" vertical="center" wrapText="1"/>
    </xf>
    <xf numFmtId="0" fontId="27" fillId="3" borderId="14" applyAlignment="1" pivotButton="0" quotePrefix="0" xfId="0">
      <alignment horizontal="center" vertical="center" wrapText="1"/>
    </xf>
    <xf numFmtId="0" fontId="40" fillId="31" borderId="4" applyAlignment="1" pivotButton="0" quotePrefix="0" xfId="0">
      <alignment horizontal="left" vertical="center" wrapText="1"/>
    </xf>
    <xf numFmtId="0" fontId="8" fillId="31" borderId="4" applyAlignment="1" pivotButton="0" quotePrefix="0" xfId="0">
      <alignment horizontal="center" vertical="center" wrapText="1"/>
    </xf>
    <xf numFmtId="0" fontId="33" fillId="24" borderId="4" applyAlignment="1" pivotButton="0" quotePrefix="0" xfId="0">
      <alignment horizontal="left" vertical="center" wrapText="1"/>
    </xf>
    <xf numFmtId="0" fontId="40" fillId="30" borderId="4" applyAlignment="1" pivotButton="0" quotePrefix="0" xfId="0">
      <alignment horizontal="left" vertical="center" wrapText="1"/>
    </xf>
    <xf numFmtId="0" fontId="8" fillId="30" borderId="4" applyAlignment="1" pivotButton="0" quotePrefix="0" xfId="0">
      <alignment horizontal="center" vertical="center" wrapText="1"/>
    </xf>
    <xf numFmtId="0" fontId="40" fillId="25" borderId="4" applyAlignment="1" pivotButton="0" quotePrefix="0" xfId="0">
      <alignment horizontal="left" vertical="center" wrapText="1"/>
    </xf>
    <xf numFmtId="0" fontId="8" fillId="25" borderId="4" applyAlignment="1" pivotButton="0" quotePrefix="0" xfId="0">
      <alignment horizontal="center" vertical="center" wrapText="1"/>
    </xf>
    <xf numFmtId="0" fontId="41" fillId="2" borderId="1" applyAlignment="1" pivotButton="0" quotePrefix="0" xfId="0">
      <alignment horizontal="center" vertical="center" wrapText="1"/>
    </xf>
    <xf numFmtId="0" fontId="27" fillId="14" borderId="15" applyAlignment="1" pivotButton="0" quotePrefix="0" xfId="0">
      <alignment horizontal="center" vertical="center" wrapText="1"/>
    </xf>
    <xf numFmtId="0" fontId="27" fillId="14" borderId="15" applyAlignment="1" pivotButton="0" quotePrefix="0" xfId="0">
      <alignment horizontal="left" vertical="center" wrapText="1"/>
    </xf>
    <xf numFmtId="0" fontId="29" fillId="30" borderId="4" applyAlignment="1" pivotButton="0" quotePrefix="0" xfId="0">
      <alignment horizontal="left" vertical="center" wrapText="1"/>
    </xf>
    <xf numFmtId="0" fontId="12" fillId="30" borderId="4" applyAlignment="1" pivotButton="0" quotePrefix="0" xfId="0">
      <alignment horizontal="center" vertical="center" wrapText="1"/>
    </xf>
    <xf numFmtId="0" fontId="34" fillId="24" borderId="4" applyAlignment="1" pivotButton="0" quotePrefix="0" xfId="0">
      <alignment horizontal="left" vertical="center" wrapText="1"/>
    </xf>
    <xf numFmtId="0" fontId="30" fillId="26" borderId="4" applyAlignment="1" pivotButton="0" quotePrefix="0" xfId="0">
      <alignment horizontal="left" vertical="center" wrapText="1"/>
    </xf>
    <xf numFmtId="0" fontId="29" fillId="25" borderId="4" applyAlignment="1" pivotButton="0" quotePrefix="0" xfId="0">
      <alignment horizontal="left" vertical="center" wrapText="1"/>
    </xf>
    <xf numFmtId="0" fontId="12" fillId="25" borderId="4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ont>
        <name val="Calibri"/>
        <color rgb="001B5E20"/>
      </font>
      <fill>
        <patternFill patternType="solid">
          <bgColor rgb="00C8E6C9"/>
        </patternFill>
      </fill>
    </dxf>
    <dxf>
      <font>
        <name val="Calibri"/>
        <color rgb="00F57F17"/>
      </font>
      <fill>
        <patternFill patternType="solid">
          <bgColor rgb="00FFF9C4"/>
        </patternFill>
      </fill>
    </dxf>
    <dxf>
      <font>
        <name val="Calibri"/>
        <color rgb="00B71C1C"/>
      </font>
      <fill>
        <patternFill patternType="solid">
          <bgColor rgb="00FFCDD2"/>
        </patternFill>
      </fill>
    </dxf>
    <dxf>
      <font>
        <name val="Calibri"/>
        <i val="1"/>
        <color rgb="009E9E9E"/>
      </font>
      <fill>
        <patternFill patternType="solid">
          <bgColor rgb="00EEEEEE"/>
        </patternFill>
      </fill>
    </dxf>
    <dxf>
      <font>
        <color rgb="001B5E20"/>
      </font>
      <fill>
        <patternFill patternType="solid">
          <bgColor rgb="00C8E6C9"/>
        </patternFill>
      </fill>
    </dxf>
    <dxf>
      <font>
        <color rgb="00B71C1C"/>
      </font>
      <fill>
        <patternFill patternType="solid"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B2:L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  <col width="42" customWidth="1" min="4" max="4"/>
    <col width="32" customWidth="1" min="5" max="5"/>
    <col width="12" customWidth="1" min="6" max="6"/>
    <col width="10" customWidth="1" min="7" max="7"/>
    <col width="13" customWidth="1" min="8" max="8"/>
    <col width="11" customWidth="1" min="9" max="9"/>
    <col width="14" customWidth="1" min="10" max="10"/>
    <col width="24" customWidth="1" min="11" max="11"/>
    <col width="14" customWidth="1" min="12" max="12"/>
    <col width="2" customWidth="1" min="13" max="13"/>
  </cols>
  <sheetData>
    <row r="1" ht="10" customHeight="1"/>
    <row r="2" ht="52" customHeight="1">
      <c r="B2" s="1" t="inlineStr">
        <is>
          <t>Full Stack + GenAI  —  Roadmap Progress Tracker</t>
        </is>
      </c>
    </row>
    <row r="3" ht="28" customHeight="1">
      <c r="B3" s="2" t="inlineStr">
        <is>
          <t>Track your journey from zero to Full Stack + GenAI engineer</t>
        </is>
      </c>
    </row>
    <row r="4" ht="10" customHeight="1"/>
    <row r="5" ht="34" customHeight="1">
      <c r="B5" s="3" t="inlineStr">
        <is>
          <t>Overall Progress</t>
        </is>
      </c>
      <c r="C5" s="4">
        <f>IFERROR(COUNTIF('Task Tracker'!H:H,"Done")/COUNTA('Task Tracker'!H:H),0)</f>
        <v/>
      </c>
      <c r="D5" s="5">
        <f>TODAY()</f>
        <v/>
      </c>
    </row>
    <row r="6" ht="8" customHeight="1"/>
    <row r="7" ht="30" customHeight="1">
      <c r="B7" s="6" t="inlineStr">
        <is>
          <t>Phase</t>
        </is>
      </c>
      <c r="C7" s="6" t="inlineStr">
        <is>
          <t>Weeks</t>
        </is>
      </c>
      <c r="D7" s="6" t="inlineStr">
        <is>
          <t>Objective</t>
        </is>
      </c>
      <c r="E7" s="6" t="inlineStr">
        <is>
          <t>Project</t>
        </is>
      </c>
      <c r="F7" s="6" t="inlineStr">
        <is>
          <t>Total</t>
        </is>
      </c>
      <c r="G7" s="6" t="inlineStr">
        <is>
          <t>Done</t>
        </is>
      </c>
      <c r="H7" s="6" t="inlineStr">
        <is>
          <t>In Prog</t>
        </is>
      </c>
      <c r="I7" s="6" t="inlineStr">
        <is>
          <t>Blocked</t>
        </is>
      </c>
      <c r="J7" s="6" t="inlineStr">
        <is>
          <t>% Done</t>
        </is>
      </c>
      <c r="K7" s="6" t="inlineStr">
        <is>
          <t>Progress Bar</t>
        </is>
      </c>
      <c r="L7" s="6" t="inlineStr">
        <is>
          <t>Current Status</t>
        </is>
      </c>
    </row>
    <row r="8" ht="38" customHeight="1">
      <c r="B8" s="7" t="inlineStr">
        <is>
          <t>Phase 1 — Foundation</t>
        </is>
      </c>
      <c r="C8" s="8" t="inlineStr">
        <is>
          <t>1–3</t>
        </is>
      </c>
      <c r="D8" s="9" t="inlineStr">
        <is>
          <t>Learn JS basics + build first REST API</t>
        </is>
      </c>
      <c r="E8" s="9" t="inlineStr">
        <is>
          <t>—</t>
        </is>
      </c>
      <c r="F8" s="10">
        <f>COUNTIF('Task Tracker'!B:B,"Phase 1 — Foundation")</f>
        <v/>
      </c>
      <c r="G8" s="10">
        <f>COUNTIFS('Task Tracker'!B:B,"Phase 1 — Foundation",'Task Tracker'!H:H,"Done")</f>
        <v/>
      </c>
      <c r="H8" s="10">
        <f>COUNTIFS('Task Tracker'!B:B,"Phase 1 — Foundation",'Task Tracker'!H:H,"In Progress")</f>
        <v/>
      </c>
      <c r="I8" s="10">
        <f>COUNTIFS('Task Tracker'!B:B,"Phase 1 — Foundation",'Task Tracker'!H:H,"Blocked")</f>
        <v/>
      </c>
      <c r="J8" s="11">
        <f>IFERROR(G8/F8,0)</f>
        <v/>
      </c>
      <c r="K8" s="12">
        <f>IFERROR(REPT("█",ROUND(J8*20,0))&amp;REPT("░",20-ROUND(J8*20,0))&amp;"  "&amp;TEXT(J8,"0%"),"—")</f>
        <v/>
      </c>
      <c r="L8" s="13">
        <f>IF(J8=1,"✅ Complete",IF(J8=0,"⬜ Not Started",IF(K8&gt;0,"🔴 Blocked","🔵 In Progress")))</f>
        <v/>
      </c>
    </row>
    <row r="9" ht="38" customHeight="1">
      <c r="B9" s="14" t="inlineStr">
        <is>
          <t>Phase 2 — Backend</t>
        </is>
      </c>
      <c r="C9" s="15" t="inlineStr">
        <is>
          <t>4–6</t>
        </is>
      </c>
      <c r="D9" s="16" t="inlineStr">
        <is>
          <t>Build real backend with DB + Auth</t>
        </is>
      </c>
      <c r="E9" s="16" t="inlineStr">
        <is>
          <t>TODO App (Backend)</t>
        </is>
      </c>
      <c r="F9" s="17">
        <f>COUNTIF('Task Tracker'!B:B,"Phase 2 — Backend")</f>
        <v/>
      </c>
      <c r="G9" s="17">
        <f>COUNTIFS('Task Tracker'!B:B,"Phase 2 — Backend",'Task Tracker'!H:H,"Done")</f>
        <v/>
      </c>
      <c r="H9" s="17">
        <f>COUNTIFS('Task Tracker'!B:B,"Phase 2 — Backend",'Task Tracker'!H:H,"In Progress")</f>
        <v/>
      </c>
      <c r="I9" s="17">
        <f>COUNTIFS('Task Tracker'!B:B,"Phase 2 — Backend",'Task Tracker'!H:H,"Blocked")</f>
        <v/>
      </c>
      <c r="J9" s="18">
        <f>IFERROR(G9/F9,0)</f>
        <v/>
      </c>
      <c r="K9" s="12">
        <f>IFERROR(REPT("█",ROUND(J9*20,0))&amp;REPT("░",20-ROUND(J9*20,0))&amp;"  "&amp;TEXT(J9,"0%"),"—")</f>
        <v/>
      </c>
      <c r="L9" s="19">
        <f>IF(J9=1,"✅ Complete",IF(J9=0,"⬜ Not Started",IF(K9&gt;0,"🔴 Blocked","🔵 In Progress")))</f>
        <v/>
      </c>
    </row>
    <row r="10" ht="38" customHeight="1">
      <c r="B10" s="20" t="inlineStr">
        <is>
          <t>Phase 3 — Full Stack</t>
        </is>
      </c>
      <c r="C10" s="21" t="inlineStr">
        <is>
          <t>7–9</t>
        </is>
      </c>
      <c r="D10" s="22" t="inlineStr">
        <is>
          <t>Build complete UI + backend application</t>
        </is>
      </c>
      <c r="E10" s="22" t="inlineStr">
        <is>
          <t>TODO App (Full Stack)</t>
        </is>
      </c>
      <c r="F10" s="23">
        <f>COUNTIF('Task Tracker'!B:B,"Phase 3 — Full Stack")</f>
        <v/>
      </c>
      <c r="G10" s="23">
        <f>COUNTIFS('Task Tracker'!B:B,"Phase 3 — Full Stack",'Task Tracker'!H:H,"Done")</f>
        <v/>
      </c>
      <c r="H10" s="23">
        <f>COUNTIFS('Task Tracker'!B:B,"Phase 3 — Full Stack",'Task Tracker'!H:H,"In Progress")</f>
        <v/>
      </c>
      <c r="I10" s="23">
        <f>COUNTIFS('Task Tracker'!B:B,"Phase 3 — Full Stack",'Task Tracker'!H:H,"Blocked")</f>
        <v/>
      </c>
      <c r="J10" s="24">
        <f>IFERROR(G10/F10,0)</f>
        <v/>
      </c>
      <c r="K10" s="12">
        <f>IFERROR(REPT("█",ROUND(J10*20,0))&amp;REPT("░",20-ROUND(J10*20,0))&amp;"  "&amp;TEXT(J10,"0%"),"—")</f>
        <v/>
      </c>
      <c r="L10" s="25">
        <f>IF(J10=1,"✅ Complete",IF(J10=0,"⬜ Not Started",IF(K10&gt;0,"🔴 Blocked","🔵 In Progress")))</f>
        <v/>
      </c>
    </row>
    <row r="11" ht="38" customHeight="1">
      <c r="B11" s="26" t="inlineStr">
        <is>
          <t>Phase 4 — GenAI</t>
        </is>
      </c>
      <c r="C11" s="27" t="inlineStr">
        <is>
          <t>10–12</t>
        </is>
      </c>
      <c r="D11" s="28" t="inlineStr">
        <is>
          <t>Add LLM, embeddings, RAG pipeline</t>
        </is>
      </c>
      <c r="E11" s="28" t="inlineStr">
        <is>
          <t>TODO App + AI</t>
        </is>
      </c>
      <c r="F11" s="29">
        <f>COUNTIF('Task Tracker'!B:B,"Phase 4 — GenAI")</f>
        <v/>
      </c>
      <c r="G11" s="29">
        <f>COUNTIFS('Task Tracker'!B:B,"Phase 4 — GenAI",'Task Tracker'!H:H,"Done")</f>
        <v/>
      </c>
      <c r="H11" s="29">
        <f>COUNTIFS('Task Tracker'!B:B,"Phase 4 — GenAI",'Task Tracker'!H:H,"In Progress")</f>
        <v/>
      </c>
      <c r="I11" s="29">
        <f>COUNTIFS('Task Tracker'!B:B,"Phase 4 — GenAI",'Task Tracker'!H:H,"Blocked")</f>
        <v/>
      </c>
      <c r="J11" s="30">
        <f>IFERROR(G11/F11,0)</f>
        <v/>
      </c>
      <c r="K11" s="12">
        <f>IFERROR(REPT("█",ROUND(J11*20,0))&amp;REPT("░",20-ROUND(J11*20,0))&amp;"  "&amp;TEXT(J11,"0%"),"—")</f>
        <v/>
      </c>
      <c r="L11" s="31">
        <f>IF(J11=1,"✅ Complete",IF(J11=0,"⬜ Not Started",IF(K11&gt;0,"🔴 Blocked","🔵 In Progress")))</f>
        <v/>
      </c>
    </row>
    <row r="12" ht="38" customHeight="1">
      <c r="B12" s="32" t="inlineStr">
        <is>
          <t>Phase 5 — Interview Project</t>
        </is>
      </c>
      <c r="C12" s="33" t="inlineStr">
        <is>
          <t>13–16</t>
        </is>
      </c>
      <c r="D12" s="34" t="inlineStr">
        <is>
          <t>Build Document QnA Chatbot from scratch</t>
        </is>
      </c>
      <c r="E12" s="34" t="inlineStr">
        <is>
          <t>Document QnA Chatbot</t>
        </is>
      </c>
      <c r="F12" s="35">
        <f>COUNTIF('Task Tracker'!B:B,"Phase 5 — Interview Project")</f>
        <v/>
      </c>
      <c r="G12" s="35">
        <f>COUNTIFS('Task Tracker'!B:B,"Phase 5 — Interview Project",'Task Tracker'!H:H,"Done")</f>
        <v/>
      </c>
      <c r="H12" s="35">
        <f>COUNTIFS('Task Tracker'!B:B,"Phase 5 — Interview Project",'Task Tracker'!H:H,"In Progress")</f>
        <v/>
      </c>
      <c r="I12" s="35">
        <f>COUNTIFS('Task Tracker'!B:B,"Phase 5 — Interview Project",'Task Tracker'!H:H,"Blocked")</f>
        <v/>
      </c>
      <c r="J12" s="36">
        <f>IFERROR(G12/F12,0)</f>
        <v/>
      </c>
      <c r="K12" s="12">
        <f>IFERROR(REPT("█",ROUND(J12*20,0))&amp;REPT("░",20-ROUND(J12*20,0))&amp;"  "&amp;TEXT(J12,"0%"),"—")</f>
        <v/>
      </c>
      <c r="L12" s="37">
        <f>IF(J12=1,"✅ Complete",IF(J12=0,"⬜ Not Started",IF(K12&gt;0,"🔴 Blocked","🔵 In Progress")))</f>
        <v/>
      </c>
    </row>
    <row r="13" ht="38" customHeight="1">
      <c r="B13" s="38" t="inlineStr">
        <is>
          <t>Phase 6 — Deployment + Jobs</t>
        </is>
      </c>
      <c r="C13" s="39" t="inlineStr">
        <is>
          <t>—</t>
        </is>
      </c>
      <c r="D13" s="40" t="inlineStr">
        <is>
          <t>Deploy publicly + Resume + Apply</t>
        </is>
      </c>
      <c r="E13" s="40" t="inlineStr">
        <is>
          <t>Live on Vercel + Render</t>
        </is>
      </c>
      <c r="F13" s="41">
        <f>COUNTIF('Task Tracker'!B:B,"Phase 6 — Deployment + Jobs")</f>
        <v/>
      </c>
      <c r="G13" s="41">
        <f>COUNTIFS('Task Tracker'!B:B,"Phase 6 — Deployment + Jobs",'Task Tracker'!H:H,"Done")</f>
        <v/>
      </c>
      <c r="H13" s="41">
        <f>COUNTIFS('Task Tracker'!B:B,"Phase 6 — Deployment + Jobs",'Task Tracker'!H:H,"In Progress")</f>
        <v/>
      </c>
      <c r="I13" s="41">
        <f>COUNTIFS('Task Tracker'!B:B,"Phase 6 — Deployment + Jobs",'Task Tracker'!H:H,"Blocked")</f>
        <v/>
      </c>
      <c r="J13" s="42">
        <f>IFERROR(G13/F13,0)</f>
        <v/>
      </c>
      <c r="K13" s="12">
        <f>IFERROR(REPT("█",ROUND(J13*20,0))&amp;REPT("░",20-ROUND(J13*20,0))&amp;"  "&amp;TEXT(J13,"0%"),"—")</f>
        <v/>
      </c>
      <c r="L13" s="43">
        <f>IF(J13=1,"✅ Complete",IF(J13=0,"⬜ Not Started",IF(K13&gt;0,"🔴 Blocked","🔵 In Progress")))</f>
        <v/>
      </c>
    </row>
    <row r="14" ht="32" customHeight="1">
      <c r="B14" s="44" t="inlineStr">
        <is>
          <t>TOTAL</t>
        </is>
      </c>
      <c r="F14" s="45">
        <f>SUM(F8:F13)</f>
        <v/>
      </c>
      <c r="G14" s="45">
        <f>SUM(G8:G13)</f>
        <v/>
      </c>
      <c r="H14" s="45">
        <f>SUM(H8:H13)</f>
        <v/>
      </c>
      <c r="I14" s="45">
        <f>SUM(I8:I13)</f>
        <v/>
      </c>
      <c r="J14" s="46">
        <f>IFERROR(G14/F14,0)</f>
        <v/>
      </c>
      <c r="K14" s="47">
        <f>REPT("█",ROUND(J14*20,0))&amp;REPT("░",20-ROUND(J14*20,0))&amp;"  "&amp;TEXT(J14,"0%")</f>
        <v/>
      </c>
    </row>
    <row r="15" ht="10" customHeight="1"/>
    <row r="16" ht="24" customHeight="1">
      <c r="B16" s="48" t="inlineStr">
        <is>
          <t>STATUS LEGEND</t>
        </is>
      </c>
    </row>
    <row r="17" ht="26" customHeight="1">
      <c r="B17" s="49" t="inlineStr">
        <is>
          <t>Not Started</t>
        </is>
      </c>
      <c r="C17" s="50" t="inlineStr">
        <is>
          <t>In Progress</t>
        </is>
      </c>
      <c r="D17" s="51" t="inlineStr">
        <is>
          <t>Done</t>
        </is>
      </c>
      <c r="E17" s="52" t="inlineStr">
        <is>
          <t>Blocked</t>
        </is>
      </c>
      <c r="F17" s="53" t="inlineStr">
        <is>
          <t>Skipped</t>
        </is>
      </c>
    </row>
  </sheetData>
  <mergeCells count="4">
    <mergeCell ref="B2:L2"/>
    <mergeCell ref="B16:L16"/>
    <mergeCell ref="B14:E14"/>
    <mergeCell ref="B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3A047"/>
    <outlinePr summaryBelow="1" summaryRight="1"/>
    <pageSetUpPr/>
  </sheetPr>
  <dimension ref="A1:M1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" customWidth="1" min="3" max="3"/>
    <col width="18" customWidth="1" min="4" max="4"/>
    <col width="28" customWidth="1" min="5" max="5"/>
    <col width="45" customWidth="1" min="6" max="6"/>
    <col width="10" customWidth="1" min="7" max="7"/>
    <col width="14" customWidth="1" min="8" max="8"/>
    <col width="12" customWidth="1" min="9" max="9"/>
    <col width="12" customWidth="1" min="10" max="10"/>
    <col width="12" customWidth="1" min="11" max="11"/>
    <col width="9" customWidth="1" min="12" max="12"/>
    <col width="35" customWidth="1" min="13" max="13"/>
  </cols>
  <sheetData>
    <row r="1" ht="42" customHeight="1">
      <c r="A1" s="54" t="inlineStr">
        <is>
          <t>Task Tracker — Full Stack + GenAI Roadmap</t>
        </is>
      </c>
    </row>
    <row r="2" ht="8" customHeight="1"/>
    <row r="3" ht="30" customHeight="1">
      <c r="A3" s="6" t="inlineStr">
        <is>
          <t>#</t>
        </is>
      </c>
      <c r="B3" s="6" t="inlineStr">
        <is>
          <t>Phase</t>
        </is>
      </c>
      <c r="C3" s="6" t="inlineStr">
        <is>
          <t>Wks</t>
        </is>
      </c>
      <c r="D3" s="6" t="inlineStr">
        <is>
          <t>Category</t>
        </is>
      </c>
      <c r="E3" s="6" t="inlineStr">
        <is>
          <t>Task</t>
        </is>
      </c>
      <c r="F3" s="6" t="inlineStr">
        <is>
          <t>Description</t>
        </is>
      </c>
      <c r="G3" s="6" t="inlineStr">
        <is>
          <t>Priority</t>
        </is>
      </c>
      <c r="H3" s="6" t="inlineStr">
        <is>
          <t>Status</t>
        </is>
      </c>
      <c r="I3" s="6" t="inlineStr">
        <is>
          <t>Start Date</t>
        </is>
      </c>
      <c r="J3" s="6" t="inlineStr">
        <is>
          <t>Target Date</t>
        </is>
      </c>
      <c r="K3" s="6" t="inlineStr">
        <is>
          <t>Done Date</t>
        </is>
      </c>
      <c r="L3" s="6" t="inlineStr">
        <is>
          <t>Hrs</t>
        </is>
      </c>
      <c r="M3" s="6" t="inlineStr">
        <is>
          <t>Notes / Learnings</t>
        </is>
      </c>
    </row>
    <row r="4" ht="34" customHeight="1">
      <c r="A4" s="55" t="inlineStr">
        <is>
          <t>1</t>
        </is>
      </c>
      <c r="B4" s="56" t="inlineStr">
        <is>
          <t>Phase 1 — Foundation</t>
        </is>
      </c>
      <c r="C4" s="57" t="inlineStr">
        <is>
          <t>1–3</t>
        </is>
      </c>
      <c r="D4" s="58" t="inlineStr">
        <is>
          <t>Setup</t>
        </is>
      </c>
      <c r="E4" s="59" t="inlineStr">
        <is>
          <t>Install Node.js &amp; VS Code</t>
        </is>
      </c>
      <c r="F4" s="60" t="inlineStr">
        <is>
          <t>Install Node.js LTS, VS Code, ESLint + Prettier extensions, configure workspace</t>
        </is>
      </c>
      <c r="G4" s="61" t="inlineStr">
        <is>
          <t>Medium</t>
        </is>
      </c>
      <c r="H4" s="62" t="inlineStr">
        <is>
          <t>Not Started</t>
        </is>
      </c>
      <c r="I4" s="63" t="n"/>
      <c r="J4" s="63" t="n"/>
      <c r="K4" s="63" t="n"/>
      <c r="L4" s="61" t="n"/>
      <c r="M4" s="64" t="inlineStr"/>
    </row>
    <row r="5" ht="34" customHeight="1">
      <c r="A5" s="55" t="inlineStr">
        <is>
          <t>2</t>
        </is>
      </c>
      <c r="B5" s="56" t="inlineStr">
        <is>
          <t>Phase 1 — Foundation</t>
        </is>
      </c>
      <c r="C5" s="57" t="inlineStr">
        <is>
          <t>1–3</t>
        </is>
      </c>
      <c r="D5" s="58" t="inlineStr">
        <is>
          <t>JS Basics</t>
        </is>
      </c>
      <c r="E5" s="59" t="inlineStr">
        <is>
          <t>Variables &amp; Data Types</t>
        </is>
      </c>
      <c r="F5" s="60" t="inlineStr">
        <is>
          <t>var/let/const, string/number/boolean/null/undefined, typeof, type coercion</t>
        </is>
      </c>
      <c r="G5" s="61" t="inlineStr">
        <is>
          <t>Medium</t>
        </is>
      </c>
      <c r="H5" s="62" t="inlineStr">
        <is>
          <t>Not Started</t>
        </is>
      </c>
      <c r="I5" s="63" t="n"/>
      <c r="J5" s="63" t="n"/>
      <c r="K5" s="63" t="n"/>
      <c r="L5" s="61" t="n"/>
      <c r="M5" s="64" t="inlineStr"/>
    </row>
    <row r="6" ht="34" customHeight="1">
      <c r="A6" s="55" t="inlineStr">
        <is>
          <t>3</t>
        </is>
      </c>
      <c r="B6" s="56" t="inlineStr">
        <is>
          <t>Phase 1 — Foundation</t>
        </is>
      </c>
      <c r="C6" s="57" t="inlineStr">
        <is>
          <t>1–3</t>
        </is>
      </c>
      <c r="D6" s="58" t="inlineStr">
        <is>
          <t>JS Basics</t>
        </is>
      </c>
      <c r="E6" s="59" t="inlineStr">
        <is>
          <t>Control Flow</t>
        </is>
      </c>
      <c r="F6" s="60" t="inlineStr">
        <is>
          <t>if/else, switch, ternary, for/while/do-while, break/continue</t>
        </is>
      </c>
      <c r="G6" s="61" t="inlineStr">
        <is>
          <t>Medium</t>
        </is>
      </c>
      <c r="H6" s="62" t="inlineStr">
        <is>
          <t>Not Started</t>
        </is>
      </c>
      <c r="I6" s="63" t="n"/>
      <c r="J6" s="63" t="n"/>
      <c r="K6" s="63" t="n"/>
      <c r="L6" s="61" t="n"/>
      <c r="M6" s="64" t="inlineStr"/>
    </row>
    <row r="7" ht="34" customHeight="1">
      <c r="A7" s="55" t="inlineStr">
        <is>
          <t>4</t>
        </is>
      </c>
      <c r="B7" s="56" t="inlineStr">
        <is>
          <t>Phase 1 — Foundation</t>
        </is>
      </c>
      <c r="C7" s="57" t="inlineStr">
        <is>
          <t>1–3</t>
        </is>
      </c>
      <c r="D7" s="58" t="inlineStr">
        <is>
          <t>JS Basics</t>
        </is>
      </c>
      <c r="E7" s="59" t="inlineStr">
        <is>
          <t>Arrays &amp; Methods</t>
        </is>
      </c>
      <c r="F7" s="60" t="inlineStr">
        <is>
          <t>map, filter, reduce, find, forEach, some, every, flat, spread operator</t>
        </is>
      </c>
      <c r="G7" s="61" t="inlineStr">
        <is>
          <t>Medium</t>
        </is>
      </c>
      <c r="H7" s="62" t="inlineStr">
        <is>
          <t>Not Started</t>
        </is>
      </c>
      <c r="I7" s="63" t="n"/>
      <c r="J7" s="63" t="n"/>
      <c r="K7" s="63" t="n"/>
      <c r="L7" s="61" t="n"/>
      <c r="M7" s="64" t="inlineStr"/>
    </row>
    <row r="8" ht="34" customHeight="1">
      <c r="A8" s="55" t="inlineStr">
        <is>
          <t>5</t>
        </is>
      </c>
      <c r="B8" s="56" t="inlineStr">
        <is>
          <t>Phase 1 — Foundation</t>
        </is>
      </c>
      <c r="C8" s="57" t="inlineStr">
        <is>
          <t>1–3</t>
        </is>
      </c>
      <c r="D8" s="58" t="inlineStr">
        <is>
          <t>JS Basics</t>
        </is>
      </c>
      <c r="E8" s="59" t="inlineStr">
        <is>
          <t>Objects &amp; Prototypes</t>
        </is>
      </c>
      <c r="F8" s="60" t="inlineStr">
        <is>
          <t>Literals, destructuring, optional chaining (?.), nullish coalescing (??), spread</t>
        </is>
      </c>
      <c r="G8" s="61" t="inlineStr">
        <is>
          <t>Medium</t>
        </is>
      </c>
      <c r="H8" s="62" t="inlineStr">
        <is>
          <t>Not Started</t>
        </is>
      </c>
      <c r="I8" s="63" t="n"/>
      <c r="J8" s="63" t="n"/>
      <c r="K8" s="63" t="n"/>
      <c r="L8" s="61" t="n"/>
      <c r="M8" s="64" t="inlineStr"/>
    </row>
    <row r="9" ht="34" customHeight="1">
      <c r="A9" s="55" t="inlineStr">
        <is>
          <t>6</t>
        </is>
      </c>
      <c r="B9" s="56" t="inlineStr">
        <is>
          <t>Phase 1 — Foundation</t>
        </is>
      </c>
      <c r="C9" s="57" t="inlineStr">
        <is>
          <t>1–3</t>
        </is>
      </c>
      <c r="D9" s="58" t="inlineStr">
        <is>
          <t>JS Basics</t>
        </is>
      </c>
      <c r="E9" s="59" t="inlineStr">
        <is>
          <t>Functions &amp; Closures</t>
        </is>
      </c>
      <c r="F9" s="60" t="inlineStr">
        <is>
          <t>Arrow functions, default params, rest params, IIFE, closures, HOFs</t>
        </is>
      </c>
      <c r="G9" s="61" t="inlineStr">
        <is>
          <t>Medium</t>
        </is>
      </c>
      <c r="H9" s="62" t="inlineStr">
        <is>
          <t>Not Started</t>
        </is>
      </c>
      <c r="I9" s="63" t="n"/>
      <c r="J9" s="63" t="n"/>
      <c r="K9" s="63" t="n"/>
      <c r="L9" s="61" t="n"/>
      <c r="M9" s="64" t="inlineStr"/>
    </row>
    <row r="10" ht="34" customHeight="1">
      <c r="A10" s="55" t="inlineStr">
        <is>
          <t>7</t>
        </is>
      </c>
      <c r="B10" s="56" t="inlineStr">
        <is>
          <t>Phase 1 — Foundation</t>
        </is>
      </c>
      <c r="C10" s="57" t="inlineStr">
        <is>
          <t>1–3</t>
        </is>
      </c>
      <c r="D10" s="58" t="inlineStr">
        <is>
          <t>Async JS</t>
        </is>
      </c>
      <c r="E10" s="59" t="inlineStr">
        <is>
          <t>Callbacks &amp; Promises</t>
        </is>
      </c>
      <c r="F10" s="60" t="inlineStr">
        <is>
          <t>Callback hell, Promise chain (.then/.catch), Promise.all, Promise.race</t>
        </is>
      </c>
      <c r="G10" s="61" t="inlineStr">
        <is>
          <t>Medium</t>
        </is>
      </c>
      <c r="H10" s="62" t="inlineStr">
        <is>
          <t>Not Started</t>
        </is>
      </c>
      <c r="I10" s="63" t="n"/>
      <c r="J10" s="63" t="n"/>
      <c r="K10" s="63" t="n"/>
      <c r="L10" s="61" t="n"/>
      <c r="M10" s="64" t="inlineStr"/>
    </row>
    <row r="11" ht="34" customHeight="1">
      <c r="A11" s="55" t="inlineStr">
        <is>
          <t>8</t>
        </is>
      </c>
      <c r="B11" s="56" t="inlineStr">
        <is>
          <t>Phase 1 — Foundation</t>
        </is>
      </c>
      <c r="C11" s="57" t="inlineStr">
        <is>
          <t>1–3</t>
        </is>
      </c>
      <c r="D11" s="58" t="inlineStr">
        <is>
          <t>Async JS</t>
        </is>
      </c>
      <c r="E11" s="59" t="inlineStr">
        <is>
          <t>async / await</t>
        </is>
      </c>
      <c r="F11" s="60" t="inlineStr">
        <is>
          <t>async functions, await keyword, try/catch error handling, parallel await</t>
        </is>
      </c>
      <c r="G11" s="61" t="inlineStr">
        <is>
          <t>Medium</t>
        </is>
      </c>
      <c r="H11" s="62" t="inlineStr">
        <is>
          <t>Not Started</t>
        </is>
      </c>
      <c r="I11" s="63" t="n"/>
      <c r="J11" s="63" t="n"/>
      <c r="K11" s="63" t="n"/>
      <c r="L11" s="61" t="n"/>
      <c r="M11" s="64" t="inlineStr"/>
    </row>
    <row r="12" ht="34" customHeight="1">
      <c r="A12" s="55" t="inlineStr">
        <is>
          <t>9</t>
        </is>
      </c>
      <c r="B12" s="56" t="inlineStr">
        <is>
          <t>Phase 1 — Foundation</t>
        </is>
      </c>
      <c r="C12" s="57" t="inlineStr">
        <is>
          <t>1–3</t>
        </is>
      </c>
      <c r="D12" s="58" t="inlineStr">
        <is>
          <t>ES6+</t>
        </is>
      </c>
      <c r="E12" s="59" t="inlineStr">
        <is>
          <t>Modules &amp; Modern Syntax</t>
        </is>
      </c>
      <c r="F12" s="60" t="inlineStr">
        <is>
          <t>import/export, template literals, destructuring assignment, optional chaining</t>
        </is>
      </c>
      <c r="G12" s="61" t="inlineStr">
        <is>
          <t>Medium</t>
        </is>
      </c>
      <c r="H12" s="62" t="inlineStr">
        <is>
          <t>Not Started</t>
        </is>
      </c>
      <c r="I12" s="63" t="n"/>
      <c r="J12" s="63" t="n"/>
      <c r="K12" s="63" t="n"/>
      <c r="L12" s="61" t="n"/>
      <c r="M12" s="64" t="inlineStr"/>
    </row>
    <row r="13" ht="34" customHeight="1">
      <c r="A13" s="55" t="inlineStr">
        <is>
          <t>10</t>
        </is>
      </c>
      <c r="B13" s="56" t="inlineStr">
        <is>
          <t>Phase 1 — Foundation</t>
        </is>
      </c>
      <c r="C13" s="57" t="inlineStr">
        <is>
          <t>1–3</t>
        </is>
      </c>
      <c r="D13" s="58" t="inlineStr">
        <is>
          <t>Express.js</t>
        </is>
      </c>
      <c r="E13" s="59" t="inlineStr">
        <is>
          <t>Project Setup</t>
        </is>
      </c>
      <c r="F13" s="60" t="inlineStr">
        <is>
          <t>npm init, install express cors body-parser, nodemon, folder structure (routes/controllers)</t>
        </is>
      </c>
      <c r="G13" s="61" t="inlineStr">
        <is>
          <t>Medium</t>
        </is>
      </c>
      <c r="H13" s="62" t="inlineStr">
        <is>
          <t>Not Started</t>
        </is>
      </c>
      <c r="I13" s="63" t="n"/>
      <c r="J13" s="63" t="n"/>
      <c r="K13" s="63" t="n"/>
      <c r="L13" s="61" t="n"/>
      <c r="M13" s="64" t="inlineStr"/>
    </row>
    <row r="14" ht="34" customHeight="1">
      <c r="A14" s="55" t="inlineStr">
        <is>
          <t>11</t>
        </is>
      </c>
      <c r="B14" s="56" t="inlineStr">
        <is>
          <t>Phase 1 — Foundation</t>
        </is>
      </c>
      <c r="C14" s="57" t="inlineStr">
        <is>
          <t>1–3</t>
        </is>
      </c>
      <c r="D14" s="58" t="inlineStr">
        <is>
          <t>Express.js</t>
        </is>
      </c>
      <c r="E14" s="59" t="inlineStr">
        <is>
          <t>GET Endpoints</t>
        </is>
      </c>
      <c r="F14" s="60" t="inlineStr">
        <is>
          <t>app.get(), route params (:id), query strings (?key=val), send JSON responses</t>
        </is>
      </c>
      <c r="G14" s="61" t="inlineStr">
        <is>
          <t>Medium</t>
        </is>
      </c>
      <c r="H14" s="62" t="inlineStr">
        <is>
          <t>Not Started</t>
        </is>
      </c>
      <c r="I14" s="63" t="n"/>
      <c r="J14" s="63" t="n"/>
      <c r="K14" s="63" t="n"/>
      <c r="L14" s="61" t="n"/>
      <c r="M14" s="64" t="inlineStr"/>
    </row>
    <row r="15" ht="34" customHeight="1">
      <c r="A15" s="55" t="inlineStr">
        <is>
          <t>12</t>
        </is>
      </c>
      <c r="B15" s="56" t="inlineStr">
        <is>
          <t>Phase 1 — Foundation</t>
        </is>
      </c>
      <c r="C15" s="57" t="inlineStr">
        <is>
          <t>1–3</t>
        </is>
      </c>
      <c r="D15" s="58" t="inlineStr">
        <is>
          <t>Express.js</t>
        </is>
      </c>
      <c r="E15" s="59" t="inlineStr">
        <is>
          <t>POST Endpoints</t>
        </is>
      </c>
      <c r="F15" s="60" t="inlineStr">
        <is>
          <t>app.post(), express.json() middleware, body parsing, create resource flow</t>
        </is>
      </c>
      <c r="G15" s="61" t="inlineStr">
        <is>
          <t>Medium</t>
        </is>
      </c>
      <c r="H15" s="62" t="inlineStr">
        <is>
          <t>Not Started</t>
        </is>
      </c>
      <c r="I15" s="63" t="n"/>
      <c r="J15" s="63" t="n"/>
      <c r="K15" s="63" t="n"/>
      <c r="L15" s="61" t="n"/>
      <c r="M15" s="64" t="inlineStr"/>
    </row>
    <row r="16" ht="34" customHeight="1">
      <c r="A16" s="55" t="inlineStr">
        <is>
          <t>13</t>
        </is>
      </c>
      <c r="B16" s="56" t="inlineStr">
        <is>
          <t>Phase 1 — Foundation</t>
        </is>
      </c>
      <c r="C16" s="57" t="inlineStr">
        <is>
          <t>1–3</t>
        </is>
      </c>
      <c r="D16" s="58" t="inlineStr">
        <is>
          <t>Express.js</t>
        </is>
      </c>
      <c r="E16" s="59" t="inlineStr">
        <is>
          <t>Middleware &amp; Errors</t>
        </is>
      </c>
      <c r="F16" s="60" t="inlineStr">
        <is>
          <t>Custom middleware chain, cors(), morgan, 404 handler, global error middleware</t>
        </is>
      </c>
      <c r="G16" s="61" t="inlineStr">
        <is>
          <t>Medium</t>
        </is>
      </c>
      <c r="H16" s="62" t="inlineStr">
        <is>
          <t>Not Started</t>
        </is>
      </c>
      <c r="I16" s="63" t="n"/>
      <c r="J16" s="63" t="n"/>
      <c r="K16" s="63" t="n"/>
      <c r="L16" s="61" t="n"/>
      <c r="M16" s="64" t="inlineStr"/>
    </row>
    <row r="17" ht="34" customHeight="1">
      <c r="A17" s="55" t="inlineStr">
        <is>
          <t>14</t>
        </is>
      </c>
      <c r="B17" s="56" t="inlineStr">
        <is>
          <t>Phase 1 — Foundation</t>
        </is>
      </c>
      <c r="C17" s="57" t="inlineStr">
        <is>
          <t>1–3</t>
        </is>
      </c>
      <c r="D17" s="58" t="inlineStr">
        <is>
          <t>Testing</t>
        </is>
      </c>
      <c r="E17" s="59" t="inlineStr">
        <is>
          <t>Postman Collections</t>
        </is>
      </c>
      <c r="F17" s="60" t="inlineStr">
        <is>
          <t>Create workspace, collection, test GET/POST/PUT/DELETE, environment vars, export</t>
        </is>
      </c>
      <c r="G17" s="61" t="inlineStr">
        <is>
          <t>Medium</t>
        </is>
      </c>
      <c r="H17" s="62" t="inlineStr">
        <is>
          <t>Not Started</t>
        </is>
      </c>
      <c r="I17" s="63" t="n"/>
      <c r="J17" s="63" t="n"/>
      <c r="K17" s="63" t="n"/>
      <c r="L17" s="61" t="n"/>
      <c r="M17" s="64" t="inlineStr"/>
    </row>
    <row r="18" ht="34" customHeight="1">
      <c r="A18" s="55" t="inlineStr">
        <is>
          <t>15</t>
        </is>
      </c>
      <c r="B18" s="56" t="inlineStr">
        <is>
          <t>Phase 1 — Foundation</t>
        </is>
      </c>
      <c r="C18" s="57" t="inlineStr">
        <is>
          <t>1–3</t>
        </is>
      </c>
      <c r="D18" s="58" t="inlineStr">
        <is>
          <t>Testing</t>
        </is>
      </c>
      <c r="E18" s="59" t="inlineStr">
        <is>
          <t>REST Principles</t>
        </is>
      </c>
      <c r="F18" s="60" t="inlineStr">
        <is>
          <t>HTTP methods, status codes (200/201/400/401/404/500), idempotency, RESTful naming</t>
        </is>
      </c>
      <c r="G18" s="61" t="inlineStr">
        <is>
          <t>Medium</t>
        </is>
      </c>
      <c r="H18" s="62" t="inlineStr">
        <is>
          <t>Not Started</t>
        </is>
      </c>
      <c r="I18" s="63" t="n"/>
      <c r="J18" s="63" t="n"/>
      <c r="K18" s="63" t="n"/>
      <c r="L18" s="61" t="n"/>
      <c r="M18" s="64" t="inlineStr"/>
    </row>
    <row r="19" ht="34" customHeight="1">
      <c r="A19" s="65" t="inlineStr">
        <is>
          <t>1</t>
        </is>
      </c>
      <c r="B19" s="66" t="inlineStr">
        <is>
          <t>Phase 2 — Backend</t>
        </is>
      </c>
      <c r="C19" s="67" t="inlineStr">
        <is>
          <t>4–6</t>
        </is>
      </c>
      <c r="D19" s="68" t="inlineStr">
        <is>
          <t>PostgreSQL</t>
        </is>
      </c>
      <c r="E19" s="69" t="inlineStr">
        <is>
          <t>Install &amp; Configure</t>
        </is>
      </c>
      <c r="F19" s="60" t="inlineStr">
        <is>
          <t>Install PostgreSQL, create DB user + database, connect via psql or pgAdmin</t>
        </is>
      </c>
      <c r="G19" s="61" t="inlineStr">
        <is>
          <t>Medium</t>
        </is>
      </c>
      <c r="H19" s="62" t="inlineStr">
        <is>
          <t>Not Started</t>
        </is>
      </c>
      <c r="I19" s="63" t="n"/>
      <c r="J19" s="63" t="n"/>
      <c r="K19" s="63" t="n"/>
      <c r="L19" s="61" t="n"/>
      <c r="M19" s="64" t="inlineStr"/>
    </row>
    <row r="20" ht="34" customHeight="1">
      <c r="A20" s="65" t="inlineStr">
        <is>
          <t>2</t>
        </is>
      </c>
      <c r="B20" s="66" t="inlineStr">
        <is>
          <t>Phase 2 — Backend</t>
        </is>
      </c>
      <c r="C20" s="67" t="inlineStr">
        <is>
          <t>4–6</t>
        </is>
      </c>
      <c r="D20" s="68" t="inlineStr">
        <is>
          <t>PostgreSQL</t>
        </is>
      </c>
      <c r="E20" s="69" t="inlineStr">
        <is>
          <t>SQL Fundamentals</t>
        </is>
      </c>
      <c r="F20" s="60" t="inlineStr">
        <is>
          <t>CREATE TABLE, INSERT, SELECT, WHERE, JOIN (INNER/LEFT), ORDER BY, LIMIT</t>
        </is>
      </c>
      <c r="G20" s="61" t="inlineStr">
        <is>
          <t>Medium</t>
        </is>
      </c>
      <c r="H20" s="62" t="inlineStr">
        <is>
          <t>Not Started</t>
        </is>
      </c>
      <c r="I20" s="63" t="n"/>
      <c r="J20" s="63" t="n"/>
      <c r="K20" s="63" t="n"/>
      <c r="L20" s="61" t="n"/>
      <c r="M20" s="64" t="inlineStr"/>
    </row>
    <row r="21" ht="34" customHeight="1">
      <c r="A21" s="65" t="inlineStr">
        <is>
          <t>3</t>
        </is>
      </c>
      <c r="B21" s="66" t="inlineStr">
        <is>
          <t>Phase 2 — Backend</t>
        </is>
      </c>
      <c r="C21" s="67" t="inlineStr">
        <is>
          <t>4–6</t>
        </is>
      </c>
      <c r="D21" s="68" t="inlineStr">
        <is>
          <t>PostgreSQL</t>
        </is>
      </c>
      <c r="E21" s="69" t="inlineStr">
        <is>
          <t>DB Schema Design</t>
        </is>
      </c>
      <c r="F21" s="60" t="inlineStr">
        <is>
          <t>Design users &amp; tasks tables, primary keys, foreign keys, constraints, indexes</t>
        </is>
      </c>
      <c r="G21" s="61" t="inlineStr">
        <is>
          <t>Medium</t>
        </is>
      </c>
      <c r="H21" s="62" t="inlineStr">
        <is>
          <t>Not Started</t>
        </is>
      </c>
      <c r="I21" s="63" t="n"/>
      <c r="J21" s="63" t="n"/>
      <c r="K21" s="63" t="n"/>
      <c r="L21" s="61" t="n"/>
      <c r="M21" s="64" t="inlineStr"/>
    </row>
    <row r="22" ht="34" customHeight="1">
      <c r="A22" s="65" t="inlineStr">
        <is>
          <t>4</t>
        </is>
      </c>
      <c r="B22" s="66" t="inlineStr">
        <is>
          <t>Phase 2 — Backend</t>
        </is>
      </c>
      <c r="C22" s="67" t="inlineStr">
        <is>
          <t>4–6</t>
        </is>
      </c>
      <c r="D22" s="68" t="inlineStr">
        <is>
          <t>Prisma ORM</t>
        </is>
      </c>
      <c r="E22" s="69" t="inlineStr">
        <is>
          <t>Setup &amp; Configure</t>
        </is>
      </c>
      <c r="F22" s="60" t="inlineStr">
        <is>
          <t>npm install prisma @prisma/client, prisma init, configure DATABASE_URL in .env</t>
        </is>
      </c>
      <c r="G22" s="61" t="inlineStr">
        <is>
          <t>Medium</t>
        </is>
      </c>
      <c r="H22" s="62" t="inlineStr">
        <is>
          <t>Not Started</t>
        </is>
      </c>
      <c r="I22" s="63" t="n"/>
      <c r="J22" s="63" t="n"/>
      <c r="K22" s="63" t="n"/>
      <c r="L22" s="61" t="n"/>
      <c r="M22" s="64" t="inlineStr"/>
    </row>
    <row r="23" ht="34" customHeight="1">
      <c r="A23" s="65" t="inlineStr">
        <is>
          <t>5</t>
        </is>
      </c>
      <c r="B23" s="66" t="inlineStr">
        <is>
          <t>Phase 2 — Backend</t>
        </is>
      </c>
      <c r="C23" s="67" t="inlineStr">
        <is>
          <t>4–6</t>
        </is>
      </c>
      <c r="D23" s="68" t="inlineStr">
        <is>
          <t>Prisma ORM</t>
        </is>
      </c>
      <c r="E23" s="69" t="inlineStr">
        <is>
          <t>Schema Definition</t>
        </is>
      </c>
      <c r="F23" s="60" t="inlineStr">
        <is>
          <t>Define User and Task models, @relation, @unique, @default, DateTime fields</t>
        </is>
      </c>
      <c r="G23" s="61" t="inlineStr">
        <is>
          <t>Medium</t>
        </is>
      </c>
      <c r="H23" s="62" t="inlineStr">
        <is>
          <t>Not Started</t>
        </is>
      </c>
      <c r="I23" s="63" t="n"/>
      <c r="J23" s="63" t="n"/>
      <c r="K23" s="63" t="n"/>
      <c r="L23" s="61" t="n"/>
      <c r="M23" s="64" t="inlineStr"/>
    </row>
    <row r="24" ht="34" customHeight="1">
      <c r="A24" s="65" t="inlineStr">
        <is>
          <t>6</t>
        </is>
      </c>
      <c r="B24" s="66" t="inlineStr">
        <is>
          <t>Phase 2 — Backend</t>
        </is>
      </c>
      <c r="C24" s="67" t="inlineStr">
        <is>
          <t>4–6</t>
        </is>
      </c>
      <c r="D24" s="68" t="inlineStr">
        <is>
          <t>Prisma ORM</t>
        </is>
      </c>
      <c r="E24" s="69" t="inlineStr">
        <is>
          <t>Migrations</t>
        </is>
      </c>
      <c r="F24" s="60" t="inlineStr">
        <is>
          <t>prisma migrate dev --name init, inspect generated SQL, prisma studio</t>
        </is>
      </c>
      <c r="G24" s="61" t="inlineStr">
        <is>
          <t>Medium</t>
        </is>
      </c>
      <c r="H24" s="62" t="inlineStr">
        <is>
          <t>Not Started</t>
        </is>
      </c>
      <c r="I24" s="63" t="n"/>
      <c r="J24" s="63" t="n"/>
      <c r="K24" s="63" t="n"/>
      <c r="L24" s="61" t="n"/>
      <c r="M24" s="64" t="inlineStr"/>
    </row>
    <row r="25" ht="34" customHeight="1">
      <c r="A25" s="65" t="inlineStr">
        <is>
          <t>7</t>
        </is>
      </c>
      <c r="B25" s="66" t="inlineStr">
        <is>
          <t>Phase 2 — Backend</t>
        </is>
      </c>
      <c r="C25" s="67" t="inlineStr">
        <is>
          <t>4–6</t>
        </is>
      </c>
      <c r="D25" s="68" t="inlineStr">
        <is>
          <t>Prisma ORM</t>
        </is>
      </c>
      <c r="E25" s="69" t="inlineStr">
        <is>
          <t>Prisma Client CRUD</t>
        </is>
      </c>
      <c r="F25" s="60" t="inlineStr">
        <is>
          <t>findMany, findUnique, create, update, delete, upsert with Prisma Client</t>
        </is>
      </c>
      <c r="G25" s="61" t="inlineStr">
        <is>
          <t>Medium</t>
        </is>
      </c>
      <c r="H25" s="62" t="inlineStr">
        <is>
          <t>Not Started</t>
        </is>
      </c>
      <c r="I25" s="63" t="n"/>
      <c r="J25" s="63" t="n"/>
      <c r="K25" s="63" t="n"/>
      <c r="L25" s="61" t="n"/>
      <c r="M25" s="64" t="inlineStr"/>
    </row>
    <row r="26" ht="34" customHeight="1">
      <c r="A26" s="65" t="inlineStr">
        <is>
          <t>8</t>
        </is>
      </c>
      <c r="B26" s="66" t="inlineStr">
        <is>
          <t>Phase 2 — Backend</t>
        </is>
      </c>
      <c r="C26" s="67" t="inlineStr">
        <is>
          <t>4–6</t>
        </is>
      </c>
      <c r="D26" s="68" t="inlineStr">
        <is>
          <t>Auth</t>
        </is>
      </c>
      <c r="E26" s="69" t="inlineStr">
        <is>
          <t>Password Hashing (bcrypt)</t>
        </is>
      </c>
      <c r="F26" s="60" t="inlineStr">
        <is>
          <t>npm install bcryptjs, hash on register (saltRounds=10), compare on login</t>
        </is>
      </c>
      <c r="G26" s="61" t="inlineStr">
        <is>
          <t>Medium</t>
        </is>
      </c>
      <c r="H26" s="62" t="inlineStr">
        <is>
          <t>Not Started</t>
        </is>
      </c>
      <c r="I26" s="63" t="n"/>
      <c r="J26" s="63" t="n"/>
      <c r="K26" s="63" t="n"/>
      <c r="L26" s="61" t="n"/>
      <c r="M26" s="64" t="inlineStr"/>
    </row>
    <row r="27" ht="34" customHeight="1">
      <c r="A27" s="65" t="inlineStr">
        <is>
          <t>9</t>
        </is>
      </c>
      <c r="B27" s="66" t="inlineStr">
        <is>
          <t>Phase 2 — Backend</t>
        </is>
      </c>
      <c r="C27" s="67" t="inlineStr">
        <is>
          <t>4–6</t>
        </is>
      </c>
      <c r="D27" s="68" t="inlineStr">
        <is>
          <t>Auth</t>
        </is>
      </c>
      <c r="E27" s="69" t="inlineStr">
        <is>
          <t>JWT Token Generation</t>
        </is>
      </c>
      <c r="F27" s="60" t="inlineStr">
        <is>
          <t>npm install jsonwebtoken, sign with secret+expiry, verify, decode payload</t>
        </is>
      </c>
      <c r="G27" s="61" t="inlineStr">
        <is>
          <t>Medium</t>
        </is>
      </c>
      <c r="H27" s="62" t="inlineStr">
        <is>
          <t>Not Started</t>
        </is>
      </c>
      <c r="I27" s="63" t="n"/>
      <c r="J27" s="63" t="n"/>
      <c r="K27" s="63" t="n"/>
      <c r="L27" s="61" t="n"/>
      <c r="M27" s="64" t="inlineStr"/>
    </row>
    <row r="28" ht="34" customHeight="1">
      <c r="A28" s="65" t="inlineStr">
        <is>
          <t>10</t>
        </is>
      </c>
      <c r="B28" s="66" t="inlineStr">
        <is>
          <t>Phase 2 — Backend</t>
        </is>
      </c>
      <c r="C28" s="67" t="inlineStr">
        <is>
          <t>4–6</t>
        </is>
      </c>
      <c r="D28" s="68" t="inlineStr">
        <is>
          <t>Auth</t>
        </is>
      </c>
      <c r="E28" s="69" t="inlineStr">
        <is>
          <t>Auth Middleware</t>
        </is>
      </c>
      <c r="F28" s="60" t="inlineStr">
        <is>
          <t>Extract Bearer token from header, verify JWT, attach req.user, protect routes</t>
        </is>
      </c>
      <c r="G28" s="61" t="inlineStr">
        <is>
          <t>Medium</t>
        </is>
      </c>
      <c r="H28" s="62" t="inlineStr">
        <is>
          <t>Not Started</t>
        </is>
      </c>
      <c r="I28" s="63" t="n"/>
      <c r="J28" s="63" t="n"/>
      <c r="K28" s="63" t="n"/>
      <c r="L28" s="61" t="n"/>
      <c r="M28" s="64" t="inlineStr"/>
    </row>
    <row r="29" ht="34" customHeight="1">
      <c r="A29" s="65" t="inlineStr">
        <is>
          <t>11</t>
        </is>
      </c>
      <c r="B29" s="66" t="inlineStr">
        <is>
          <t>Phase 2 — Backend</t>
        </is>
      </c>
      <c r="C29" s="67" t="inlineStr">
        <is>
          <t>4–6</t>
        </is>
      </c>
      <c r="D29" s="68" t="inlineStr">
        <is>
          <t>Auth</t>
        </is>
      </c>
      <c r="E29" s="69" t="inlineStr">
        <is>
          <t>Register Endpoint</t>
        </is>
      </c>
      <c r="F29" s="60" t="inlineStr">
        <is>
          <t>POST /auth/register — validate input, check duplicate email, hash, save to DB</t>
        </is>
      </c>
      <c r="G29" s="61" t="inlineStr">
        <is>
          <t>Medium</t>
        </is>
      </c>
      <c r="H29" s="62" t="inlineStr">
        <is>
          <t>Not Started</t>
        </is>
      </c>
      <c r="I29" s="63" t="n"/>
      <c r="J29" s="63" t="n"/>
      <c r="K29" s="63" t="n"/>
      <c r="L29" s="61" t="n"/>
      <c r="M29" s="64" t="inlineStr"/>
    </row>
    <row r="30" ht="34" customHeight="1">
      <c r="A30" s="65" t="inlineStr">
        <is>
          <t>12</t>
        </is>
      </c>
      <c r="B30" s="66" t="inlineStr">
        <is>
          <t>Phase 2 — Backend</t>
        </is>
      </c>
      <c r="C30" s="67" t="inlineStr">
        <is>
          <t>4–6</t>
        </is>
      </c>
      <c r="D30" s="68" t="inlineStr">
        <is>
          <t>Auth</t>
        </is>
      </c>
      <c r="E30" s="69" t="inlineStr">
        <is>
          <t>Login Endpoint</t>
        </is>
      </c>
      <c r="F30" s="60" t="inlineStr">
        <is>
          <t>POST /auth/login — find user, compare hash, sign + return JWT + user data</t>
        </is>
      </c>
      <c r="G30" s="61" t="inlineStr">
        <is>
          <t>Medium</t>
        </is>
      </c>
      <c r="H30" s="62" t="inlineStr">
        <is>
          <t>Not Started</t>
        </is>
      </c>
      <c r="I30" s="63" t="n"/>
      <c r="J30" s="63" t="n"/>
      <c r="K30" s="63" t="n"/>
      <c r="L30" s="61" t="n"/>
      <c r="M30" s="64" t="inlineStr"/>
    </row>
    <row r="31" ht="34" customHeight="1">
      <c r="A31" s="65" t="inlineStr">
        <is>
          <t>13</t>
        </is>
      </c>
      <c r="B31" s="66" t="inlineStr">
        <is>
          <t>Phase 2 — Backend</t>
        </is>
      </c>
      <c r="C31" s="67" t="inlineStr">
        <is>
          <t>4–6</t>
        </is>
      </c>
      <c r="D31" s="68" t="inlineStr">
        <is>
          <t>CRUD API</t>
        </is>
      </c>
      <c r="E31" s="69" t="inlineStr">
        <is>
          <t>Task Endpoints</t>
        </is>
      </c>
      <c r="F31" s="60" t="inlineStr">
        <is>
          <t>GET/POST/PUT/DELETE /tasks — all protected, user-scoped, full CRUD with DB</t>
        </is>
      </c>
      <c r="G31" s="61" t="inlineStr">
        <is>
          <t>Medium</t>
        </is>
      </c>
      <c r="H31" s="62" t="inlineStr">
        <is>
          <t>Not Started</t>
        </is>
      </c>
      <c r="I31" s="63" t="n"/>
      <c r="J31" s="63" t="n"/>
      <c r="K31" s="63" t="n"/>
      <c r="L31" s="61" t="n"/>
      <c r="M31" s="64" t="inlineStr"/>
    </row>
    <row r="32" ht="34" customHeight="1">
      <c r="A32" s="65" t="inlineStr">
        <is>
          <t>14</t>
        </is>
      </c>
      <c r="B32" s="66" t="inlineStr">
        <is>
          <t>Phase 2 — Backend</t>
        </is>
      </c>
      <c r="C32" s="67" t="inlineStr">
        <is>
          <t>4–6</t>
        </is>
      </c>
      <c r="D32" s="68" t="inlineStr">
        <is>
          <t>CRUD API</t>
        </is>
      </c>
      <c r="E32" s="69" t="inlineStr">
        <is>
          <t>Input Validation</t>
        </is>
      </c>
      <c r="F32" s="60" t="inlineStr">
        <is>
          <t>Validate required fields, types, lengths; return 400 with descriptive errors</t>
        </is>
      </c>
      <c r="G32" s="61" t="inlineStr">
        <is>
          <t>Medium</t>
        </is>
      </c>
      <c r="H32" s="62" t="inlineStr">
        <is>
          <t>Not Started</t>
        </is>
      </c>
      <c r="I32" s="63" t="n"/>
      <c r="J32" s="63" t="n"/>
      <c r="K32" s="63" t="n"/>
      <c r="L32" s="61" t="n"/>
      <c r="M32" s="64" t="inlineStr"/>
    </row>
    <row r="33" ht="34" customHeight="1">
      <c r="A33" s="65" t="inlineStr">
        <is>
          <t>15</t>
        </is>
      </c>
      <c r="B33" s="66" t="inlineStr">
        <is>
          <t>Phase 2 — Backend</t>
        </is>
      </c>
      <c r="C33" s="67" t="inlineStr">
        <is>
          <t>4–6</t>
        </is>
      </c>
      <c r="D33" s="68" t="inlineStr">
        <is>
          <t>CRUD API</t>
        </is>
      </c>
      <c r="E33" s="69" t="inlineStr">
        <is>
          <t>Integration Test</t>
        </is>
      </c>
      <c r="F33" s="60" t="inlineStr">
        <is>
          <t>Postman: register → login → create/read/update/delete tasks → verify auth guards</t>
        </is>
      </c>
      <c r="G33" s="61" t="inlineStr">
        <is>
          <t>Medium</t>
        </is>
      </c>
      <c r="H33" s="62" t="inlineStr">
        <is>
          <t>Not Started</t>
        </is>
      </c>
      <c r="I33" s="63" t="n"/>
      <c r="J33" s="63" t="n"/>
      <c r="K33" s="63" t="n"/>
      <c r="L33" s="61" t="n"/>
      <c r="M33" s="64" t="inlineStr"/>
    </row>
    <row r="34" ht="34" customHeight="1">
      <c r="A34" s="70" t="inlineStr">
        <is>
          <t>1</t>
        </is>
      </c>
      <c r="B34" s="71" t="inlineStr">
        <is>
          <t>Phase 3 — Full Stack</t>
        </is>
      </c>
      <c r="C34" s="72" t="inlineStr">
        <is>
          <t>7–9</t>
        </is>
      </c>
      <c r="D34" s="73" t="inlineStr">
        <is>
          <t>React</t>
        </is>
      </c>
      <c r="E34" s="74" t="inlineStr">
        <is>
          <t>Project Setup (Vite)</t>
        </is>
      </c>
      <c r="F34" s="60" t="inlineStr">
        <is>
          <t>npm create vite@latest, choose React template, clean boilerplate, folder structure</t>
        </is>
      </c>
      <c r="G34" s="61" t="inlineStr">
        <is>
          <t>Medium</t>
        </is>
      </c>
      <c r="H34" s="62" t="inlineStr">
        <is>
          <t>Not Started</t>
        </is>
      </c>
      <c r="I34" s="63" t="n"/>
      <c r="J34" s="63" t="n"/>
      <c r="K34" s="63" t="n"/>
      <c r="L34" s="61" t="n"/>
      <c r="M34" s="64" t="inlineStr"/>
    </row>
    <row r="35" ht="34" customHeight="1">
      <c r="A35" s="70" t="inlineStr">
        <is>
          <t>2</t>
        </is>
      </c>
      <c r="B35" s="71" t="inlineStr">
        <is>
          <t>Phase 3 — Full Stack</t>
        </is>
      </c>
      <c r="C35" s="72" t="inlineStr">
        <is>
          <t>7–9</t>
        </is>
      </c>
      <c r="D35" s="73" t="inlineStr">
        <is>
          <t>React</t>
        </is>
      </c>
      <c r="E35" s="74" t="inlineStr">
        <is>
          <t>Components &amp; Props</t>
        </is>
      </c>
      <c r="F35" s="60" t="inlineStr">
        <is>
          <t>Functional components, prop types, children, composition, reusable UI components</t>
        </is>
      </c>
      <c r="G35" s="61" t="inlineStr">
        <is>
          <t>Medium</t>
        </is>
      </c>
      <c r="H35" s="62" t="inlineStr">
        <is>
          <t>Not Started</t>
        </is>
      </c>
      <c r="I35" s="63" t="n"/>
      <c r="J35" s="63" t="n"/>
      <c r="K35" s="63" t="n"/>
      <c r="L35" s="61" t="n"/>
      <c r="M35" s="64" t="inlineStr"/>
    </row>
    <row r="36" ht="34" customHeight="1">
      <c r="A36" s="70" t="inlineStr">
        <is>
          <t>3</t>
        </is>
      </c>
      <c r="B36" s="71" t="inlineStr">
        <is>
          <t>Phase 3 — Full Stack</t>
        </is>
      </c>
      <c r="C36" s="72" t="inlineStr">
        <is>
          <t>7–9</t>
        </is>
      </c>
      <c r="D36" s="73" t="inlineStr">
        <is>
          <t>React</t>
        </is>
      </c>
      <c r="E36" s="74" t="inlineStr">
        <is>
          <t>useState Hook</t>
        </is>
      </c>
      <c r="F36" s="60" t="inlineStr">
        <is>
          <t>Form state, counter, toggle, controlled inputs, derived state patterns</t>
        </is>
      </c>
      <c r="G36" s="61" t="inlineStr">
        <is>
          <t>Medium</t>
        </is>
      </c>
      <c r="H36" s="62" t="inlineStr">
        <is>
          <t>Not Started</t>
        </is>
      </c>
      <c r="I36" s="63" t="n"/>
      <c r="J36" s="63" t="n"/>
      <c r="K36" s="63" t="n"/>
      <c r="L36" s="61" t="n"/>
      <c r="M36" s="64" t="inlineStr"/>
    </row>
    <row r="37" ht="34" customHeight="1">
      <c r="A37" s="70" t="inlineStr">
        <is>
          <t>4</t>
        </is>
      </c>
      <c r="B37" s="71" t="inlineStr">
        <is>
          <t>Phase 3 — Full Stack</t>
        </is>
      </c>
      <c r="C37" s="72" t="inlineStr">
        <is>
          <t>7–9</t>
        </is>
      </c>
      <c r="D37" s="73" t="inlineStr">
        <is>
          <t>React</t>
        </is>
      </c>
      <c r="E37" s="74" t="inlineStr">
        <is>
          <t>useEffect Hook</t>
        </is>
      </c>
      <c r="F37" s="60" t="inlineStr">
        <is>
          <t>Fetch on mount, cleanup function, dependency array, avoid infinite re-renders</t>
        </is>
      </c>
      <c r="G37" s="61" t="inlineStr">
        <is>
          <t>Medium</t>
        </is>
      </c>
      <c r="H37" s="62" t="inlineStr">
        <is>
          <t>Not Started</t>
        </is>
      </c>
      <c r="I37" s="63" t="n"/>
      <c r="J37" s="63" t="n"/>
      <c r="K37" s="63" t="n"/>
      <c r="L37" s="61" t="n"/>
      <c r="M37" s="64" t="inlineStr"/>
    </row>
    <row r="38" ht="34" customHeight="1">
      <c r="A38" s="70" t="inlineStr">
        <is>
          <t>5</t>
        </is>
      </c>
      <c r="B38" s="71" t="inlineStr">
        <is>
          <t>Phase 3 — Full Stack</t>
        </is>
      </c>
      <c r="C38" s="72" t="inlineStr">
        <is>
          <t>7–9</t>
        </is>
      </c>
      <c r="D38" s="73" t="inlineStr">
        <is>
          <t>React</t>
        </is>
      </c>
      <c r="E38" s="74" t="inlineStr">
        <is>
          <t>Custom Hooks</t>
        </is>
      </c>
      <c r="F38" s="60" t="inlineStr">
        <is>
          <t>useAuth (token/user state), useTasks (fetch + CRUD), useForm (generic handler)</t>
        </is>
      </c>
      <c r="G38" s="61" t="inlineStr">
        <is>
          <t>Medium</t>
        </is>
      </c>
      <c r="H38" s="62" t="inlineStr">
        <is>
          <t>Not Started</t>
        </is>
      </c>
      <c r="I38" s="63" t="n"/>
      <c r="J38" s="63" t="n"/>
      <c r="K38" s="63" t="n"/>
      <c r="L38" s="61" t="n"/>
      <c r="M38" s="64" t="inlineStr"/>
    </row>
    <row r="39" ht="34" customHeight="1">
      <c r="A39" s="70" t="inlineStr">
        <is>
          <t>6</t>
        </is>
      </c>
      <c r="B39" s="71" t="inlineStr">
        <is>
          <t>Phase 3 — Full Stack</t>
        </is>
      </c>
      <c r="C39" s="72" t="inlineStr">
        <is>
          <t>7–9</t>
        </is>
      </c>
      <c r="D39" s="73" t="inlineStr">
        <is>
          <t>Tailwind CSS</t>
        </is>
      </c>
      <c r="E39" s="74" t="inlineStr">
        <is>
          <t>Setup &amp; Config</t>
        </is>
      </c>
      <c r="F39" s="60" t="inlineStr">
        <is>
          <t>npm install tailwindcss, tailwind.config.js, JIT mode, purge paths, base styles</t>
        </is>
      </c>
      <c r="G39" s="61" t="inlineStr">
        <is>
          <t>Medium</t>
        </is>
      </c>
      <c r="H39" s="62" t="inlineStr">
        <is>
          <t>Not Started</t>
        </is>
      </c>
      <c r="I39" s="63" t="n"/>
      <c r="J39" s="63" t="n"/>
      <c r="K39" s="63" t="n"/>
      <c r="L39" s="61" t="n"/>
      <c r="M39" s="64" t="inlineStr"/>
    </row>
    <row r="40" ht="34" customHeight="1">
      <c r="A40" s="70" t="inlineStr">
        <is>
          <t>7</t>
        </is>
      </c>
      <c r="B40" s="71" t="inlineStr">
        <is>
          <t>Phase 3 — Full Stack</t>
        </is>
      </c>
      <c r="C40" s="72" t="inlineStr">
        <is>
          <t>7–9</t>
        </is>
      </c>
      <c r="D40" s="73" t="inlineStr">
        <is>
          <t>Tailwind CSS</t>
        </is>
      </c>
      <c r="E40" s="74" t="inlineStr">
        <is>
          <t>Layout &amp; Responsive</t>
        </is>
      </c>
      <c r="F40" s="60" t="inlineStr">
        <is>
          <t>Flexbox, grid, responsive breakpoints (sm/md/lg/xl), sidebar + main layout</t>
        </is>
      </c>
      <c r="G40" s="61" t="inlineStr">
        <is>
          <t>Medium</t>
        </is>
      </c>
      <c r="H40" s="62" t="inlineStr">
        <is>
          <t>Not Started</t>
        </is>
      </c>
      <c r="I40" s="63" t="n"/>
      <c r="J40" s="63" t="n"/>
      <c r="K40" s="63" t="n"/>
      <c r="L40" s="61" t="n"/>
      <c r="M40" s="64" t="inlineStr"/>
    </row>
    <row r="41" ht="34" customHeight="1">
      <c r="A41" s="70" t="inlineStr">
        <is>
          <t>8</t>
        </is>
      </c>
      <c r="B41" s="71" t="inlineStr">
        <is>
          <t>Phase 3 — Full Stack</t>
        </is>
      </c>
      <c r="C41" s="72" t="inlineStr">
        <is>
          <t>7–9</t>
        </is>
      </c>
      <c r="D41" s="73" t="inlineStr">
        <is>
          <t>Tailwind CSS</t>
        </is>
      </c>
      <c r="E41" s="74" t="inlineStr">
        <is>
          <t>Theming &amp; Reuse</t>
        </is>
      </c>
      <c r="F41" s="60" t="inlineStr">
        <is>
          <t>Custom colors in config, dark mode, @apply for repeated component styles</t>
        </is>
      </c>
      <c r="G41" s="61" t="inlineStr">
        <is>
          <t>Medium</t>
        </is>
      </c>
      <c r="H41" s="62" t="inlineStr">
        <is>
          <t>Not Started</t>
        </is>
      </c>
      <c r="I41" s="63" t="n"/>
      <c r="J41" s="63" t="n"/>
      <c r="K41" s="63" t="n"/>
      <c r="L41" s="61" t="n"/>
      <c r="M41" s="64" t="inlineStr"/>
    </row>
    <row r="42" ht="34" customHeight="1">
      <c r="A42" s="70" t="inlineStr">
        <is>
          <t>9</t>
        </is>
      </c>
      <c r="B42" s="71" t="inlineStr">
        <is>
          <t>Phase 3 — Full Stack</t>
        </is>
      </c>
      <c r="C42" s="72" t="inlineStr">
        <is>
          <t>7–9</t>
        </is>
      </c>
      <c r="D42" s="73" t="inlineStr">
        <is>
          <t>Axios</t>
        </is>
      </c>
      <c r="E42" s="74" t="inlineStr">
        <is>
          <t>Instance &amp; Interceptors</t>
        </is>
      </c>
      <c r="F42" s="60" t="inlineStr">
        <is>
          <t>Create Axios instance with baseURL, request interceptor to attach JWT header</t>
        </is>
      </c>
      <c r="G42" s="61" t="inlineStr">
        <is>
          <t>Medium</t>
        </is>
      </c>
      <c r="H42" s="62" t="inlineStr">
        <is>
          <t>Not Started</t>
        </is>
      </c>
      <c r="I42" s="63" t="n"/>
      <c r="J42" s="63" t="n"/>
      <c r="K42" s="63" t="n"/>
      <c r="L42" s="61" t="n"/>
      <c r="M42" s="64" t="inlineStr"/>
    </row>
    <row r="43" ht="34" customHeight="1">
      <c r="A43" s="70" t="inlineStr">
        <is>
          <t>10</t>
        </is>
      </c>
      <c r="B43" s="71" t="inlineStr">
        <is>
          <t>Phase 3 — Full Stack</t>
        </is>
      </c>
      <c r="C43" s="72" t="inlineStr">
        <is>
          <t>7–9</t>
        </is>
      </c>
      <c r="D43" s="73" t="inlineStr">
        <is>
          <t>Axios</t>
        </is>
      </c>
      <c r="E43" s="74" t="inlineStr">
        <is>
          <t>API Service Layer</t>
        </is>
      </c>
      <c r="F43" s="60" t="inlineStr">
        <is>
          <t>auth.js and tasks.js service files — centralise all API calls, handle errors</t>
        </is>
      </c>
      <c r="G43" s="61" t="inlineStr">
        <is>
          <t>Medium</t>
        </is>
      </c>
      <c r="H43" s="62" t="inlineStr">
        <is>
          <t>Not Started</t>
        </is>
      </c>
      <c r="I43" s="63" t="n"/>
      <c r="J43" s="63" t="n"/>
      <c r="K43" s="63" t="n"/>
      <c r="L43" s="61" t="n"/>
      <c r="M43" s="64" t="inlineStr"/>
    </row>
    <row r="44" ht="34" customHeight="1">
      <c r="A44" s="70" t="inlineStr">
        <is>
          <t>11</t>
        </is>
      </c>
      <c r="B44" s="71" t="inlineStr">
        <is>
          <t>Phase 3 — Full Stack</t>
        </is>
      </c>
      <c r="C44" s="72" t="inlineStr">
        <is>
          <t>7–9</t>
        </is>
      </c>
      <c r="D44" s="73" t="inlineStr">
        <is>
          <t>Auth UI</t>
        </is>
      </c>
      <c r="E44" s="74" t="inlineStr">
        <is>
          <t>Login &amp; Register Forms</t>
        </is>
      </c>
      <c r="F44" s="60" t="inlineStr">
        <is>
          <t>Controlled forms, client-side validation, show API errors inline, loading button</t>
        </is>
      </c>
      <c r="G44" s="61" t="inlineStr">
        <is>
          <t>Medium</t>
        </is>
      </c>
      <c r="H44" s="62" t="inlineStr">
        <is>
          <t>Not Started</t>
        </is>
      </c>
      <c r="I44" s="63" t="n"/>
      <c r="J44" s="63" t="n"/>
      <c r="K44" s="63" t="n"/>
      <c r="L44" s="61" t="n"/>
      <c r="M44" s="64" t="inlineStr"/>
    </row>
    <row r="45" ht="34" customHeight="1">
      <c r="A45" s="70" t="inlineStr">
        <is>
          <t>12</t>
        </is>
      </c>
      <c r="B45" s="71" t="inlineStr">
        <is>
          <t>Phase 3 — Full Stack</t>
        </is>
      </c>
      <c r="C45" s="72" t="inlineStr">
        <is>
          <t>7–9</t>
        </is>
      </c>
      <c r="D45" s="73" t="inlineStr">
        <is>
          <t>Auth UI</t>
        </is>
      </c>
      <c r="E45" s="74" t="inlineStr">
        <is>
          <t>Token Storage</t>
        </is>
      </c>
      <c r="F45" s="60" t="inlineStr">
        <is>
          <t>Store JWT in localStorage, parse on app load, clear on logout, expiry handling</t>
        </is>
      </c>
      <c r="G45" s="61" t="inlineStr">
        <is>
          <t>Medium</t>
        </is>
      </c>
      <c r="H45" s="62" t="inlineStr">
        <is>
          <t>Not Started</t>
        </is>
      </c>
      <c r="I45" s="63" t="n"/>
      <c r="J45" s="63" t="n"/>
      <c r="K45" s="63" t="n"/>
      <c r="L45" s="61" t="n"/>
      <c r="M45" s="64" t="inlineStr"/>
    </row>
    <row r="46" ht="34" customHeight="1">
      <c r="A46" s="70" t="inlineStr">
        <is>
          <t>13</t>
        </is>
      </c>
      <c r="B46" s="71" t="inlineStr">
        <is>
          <t>Phase 3 — Full Stack</t>
        </is>
      </c>
      <c r="C46" s="72" t="inlineStr">
        <is>
          <t>7–9</t>
        </is>
      </c>
      <c r="D46" s="73" t="inlineStr">
        <is>
          <t>Auth UI</t>
        </is>
      </c>
      <c r="E46" s="74" t="inlineStr">
        <is>
          <t>Protected Routes</t>
        </is>
      </c>
      <c r="F46" s="60" t="inlineStr">
        <is>
          <t>React Router v6, &lt;RequireAuth&gt; wrapper, redirect to /login if no valid token</t>
        </is>
      </c>
      <c r="G46" s="61" t="inlineStr">
        <is>
          <t>Medium</t>
        </is>
      </c>
      <c r="H46" s="62" t="inlineStr">
        <is>
          <t>Not Started</t>
        </is>
      </c>
      <c r="I46" s="63" t="n"/>
      <c r="J46" s="63" t="n"/>
      <c r="K46" s="63" t="n"/>
      <c r="L46" s="61" t="n"/>
      <c r="M46" s="64" t="inlineStr"/>
    </row>
    <row r="47" ht="34" customHeight="1">
      <c r="A47" s="70" t="inlineStr">
        <is>
          <t>14</t>
        </is>
      </c>
      <c r="B47" s="71" t="inlineStr">
        <is>
          <t>Phase 3 — Full Stack</t>
        </is>
      </c>
      <c r="C47" s="72" t="inlineStr">
        <is>
          <t>7–9</t>
        </is>
      </c>
      <c r="D47" s="73" t="inlineStr">
        <is>
          <t>Task UI</t>
        </is>
      </c>
      <c r="E47" s="74" t="inlineStr">
        <is>
          <t>Task List</t>
        </is>
      </c>
      <c r="F47" s="60" t="inlineStr">
        <is>
          <t>Fetch &amp; render tasks, loading skeleton, empty state illustration, task count</t>
        </is>
      </c>
      <c r="G47" s="61" t="inlineStr">
        <is>
          <t>Medium</t>
        </is>
      </c>
      <c r="H47" s="62" t="inlineStr">
        <is>
          <t>Not Started</t>
        </is>
      </c>
      <c r="I47" s="63" t="n"/>
      <c r="J47" s="63" t="n"/>
      <c r="K47" s="63" t="n"/>
      <c r="L47" s="61" t="n"/>
      <c r="M47" s="64" t="inlineStr"/>
    </row>
    <row r="48" ht="34" customHeight="1">
      <c r="A48" s="70" t="inlineStr">
        <is>
          <t>15</t>
        </is>
      </c>
      <c r="B48" s="71" t="inlineStr">
        <is>
          <t>Phase 3 — Full Stack</t>
        </is>
      </c>
      <c r="C48" s="72" t="inlineStr">
        <is>
          <t>7–9</t>
        </is>
      </c>
      <c r="D48" s="73" t="inlineStr">
        <is>
          <t>Task UI</t>
        </is>
      </c>
      <c r="E48" s="74" t="inlineStr">
        <is>
          <t>Task CRUD UI</t>
        </is>
      </c>
      <c r="F48" s="60" t="inlineStr">
        <is>
          <t>Add task form, inline edit mode, delete confirm dialog, complete toggle checkbox</t>
        </is>
      </c>
      <c r="G48" s="61" t="inlineStr">
        <is>
          <t>Medium</t>
        </is>
      </c>
      <c r="H48" s="62" t="inlineStr">
        <is>
          <t>Not Started</t>
        </is>
      </c>
      <c r="I48" s="63" t="n"/>
      <c r="J48" s="63" t="n"/>
      <c r="K48" s="63" t="n"/>
      <c r="L48" s="61" t="n"/>
      <c r="M48" s="64" t="inlineStr"/>
    </row>
    <row r="49" ht="34" customHeight="1">
      <c r="A49" s="70" t="inlineStr">
        <is>
          <t>16</t>
        </is>
      </c>
      <c r="B49" s="71" t="inlineStr">
        <is>
          <t>Phase 3 — Full Stack</t>
        </is>
      </c>
      <c r="C49" s="72" t="inlineStr">
        <is>
          <t>7–9</t>
        </is>
      </c>
      <c r="D49" s="73" t="inlineStr">
        <is>
          <t>UX</t>
        </is>
      </c>
      <c r="E49" s="74" t="inlineStr">
        <is>
          <t>Loading &amp; Error States</t>
        </is>
      </c>
      <c r="F49" s="60" t="inlineStr">
        <is>
          <t>Spinner/skeleton during fetch, toast notifications (react-hot-toast), retry button</t>
        </is>
      </c>
      <c r="G49" s="61" t="inlineStr">
        <is>
          <t>Medium</t>
        </is>
      </c>
      <c r="H49" s="62" t="inlineStr">
        <is>
          <t>Not Started</t>
        </is>
      </c>
      <c r="I49" s="63" t="n"/>
      <c r="J49" s="63" t="n"/>
      <c r="K49" s="63" t="n"/>
      <c r="L49" s="61" t="n"/>
      <c r="M49" s="64" t="inlineStr"/>
    </row>
    <row r="50" ht="34" customHeight="1">
      <c r="A50" s="70" t="inlineStr">
        <is>
          <t>17</t>
        </is>
      </c>
      <c r="B50" s="71" t="inlineStr">
        <is>
          <t>Phase 3 — Full Stack</t>
        </is>
      </c>
      <c r="C50" s="72" t="inlineStr">
        <is>
          <t>7–9</t>
        </is>
      </c>
      <c r="D50" s="73" t="inlineStr">
        <is>
          <t>UX</t>
        </is>
      </c>
      <c r="E50" s="74" t="inlineStr">
        <is>
          <t>End-to-End Integration Test</t>
        </is>
      </c>
      <c r="F50" s="60" t="inlineStr">
        <is>
          <t>Register → Login → CRUD tasks → Logout → all UI states verified manually</t>
        </is>
      </c>
      <c r="G50" s="61" t="inlineStr">
        <is>
          <t>Medium</t>
        </is>
      </c>
      <c r="H50" s="62" t="inlineStr">
        <is>
          <t>Not Started</t>
        </is>
      </c>
      <c r="I50" s="63" t="n"/>
      <c r="J50" s="63" t="n"/>
      <c r="K50" s="63" t="n"/>
      <c r="L50" s="61" t="n"/>
      <c r="M50" s="64" t="inlineStr"/>
    </row>
    <row r="51" ht="34" customHeight="1">
      <c r="A51" s="75" t="inlineStr">
        <is>
          <t>1</t>
        </is>
      </c>
      <c r="B51" s="76" t="inlineStr">
        <is>
          <t>Phase 4 — GenAI</t>
        </is>
      </c>
      <c r="C51" s="77" t="inlineStr">
        <is>
          <t>10–12</t>
        </is>
      </c>
      <c r="D51" s="78" t="inlineStr">
        <is>
          <t>Ollama</t>
        </is>
      </c>
      <c r="E51" s="79" t="inlineStr">
        <is>
          <t>Install &amp; Start Service</t>
        </is>
      </c>
      <c r="F51" s="60" t="inlineStr">
        <is>
          <t>brew install ollama, ollama serve, verify running on localhost:11434</t>
        </is>
      </c>
      <c r="G51" s="61" t="inlineStr">
        <is>
          <t>Medium</t>
        </is>
      </c>
      <c r="H51" s="62" t="inlineStr">
        <is>
          <t>Not Started</t>
        </is>
      </c>
      <c r="I51" s="63" t="n"/>
      <c r="J51" s="63" t="n"/>
      <c r="K51" s="63" t="n"/>
      <c r="L51" s="61" t="n"/>
      <c r="M51" s="64" t="inlineStr"/>
    </row>
    <row r="52" ht="34" customHeight="1">
      <c r="A52" s="75" t="inlineStr">
        <is>
          <t>2</t>
        </is>
      </c>
      <c r="B52" s="76" t="inlineStr">
        <is>
          <t>Phase 4 — GenAI</t>
        </is>
      </c>
      <c r="C52" s="77" t="inlineStr">
        <is>
          <t>10–12</t>
        </is>
      </c>
      <c r="D52" s="78" t="inlineStr">
        <is>
          <t>Ollama</t>
        </is>
      </c>
      <c r="E52" s="79" t="inlineStr">
        <is>
          <t>Pull LLM Models</t>
        </is>
      </c>
      <c r="F52" s="60" t="inlineStr">
        <is>
          <t>ollama pull llama3, ollama pull mistral, compare output quality</t>
        </is>
      </c>
      <c r="G52" s="61" t="inlineStr">
        <is>
          <t>Medium</t>
        </is>
      </c>
      <c r="H52" s="62" t="inlineStr">
        <is>
          <t>Not Started</t>
        </is>
      </c>
      <c r="I52" s="63" t="n"/>
      <c r="J52" s="63" t="n"/>
      <c r="K52" s="63" t="n"/>
      <c r="L52" s="61" t="n"/>
      <c r="M52" s="64" t="inlineStr"/>
    </row>
    <row r="53" ht="34" customHeight="1">
      <c r="A53" s="75" t="inlineStr">
        <is>
          <t>3</t>
        </is>
      </c>
      <c r="B53" s="76" t="inlineStr">
        <is>
          <t>Phase 4 — GenAI</t>
        </is>
      </c>
      <c r="C53" s="77" t="inlineStr">
        <is>
          <t>10–12</t>
        </is>
      </c>
      <c r="D53" s="78" t="inlineStr">
        <is>
          <t>Ollama</t>
        </is>
      </c>
      <c r="E53" s="79" t="inlineStr">
        <is>
          <t>Test LLM via Terminal</t>
        </is>
      </c>
      <c r="F53" s="60" t="inlineStr">
        <is>
          <t>ollama run llama3, chat, try different prompts, understand context window</t>
        </is>
      </c>
      <c r="G53" s="61" t="inlineStr">
        <is>
          <t>Medium</t>
        </is>
      </c>
      <c r="H53" s="62" t="inlineStr">
        <is>
          <t>Not Started</t>
        </is>
      </c>
      <c r="I53" s="63" t="n"/>
      <c r="J53" s="63" t="n"/>
      <c r="K53" s="63" t="n"/>
      <c r="L53" s="61" t="n"/>
      <c r="M53" s="64" t="inlineStr"/>
    </row>
    <row r="54" ht="34" customHeight="1">
      <c r="A54" s="75" t="inlineStr">
        <is>
          <t>4</t>
        </is>
      </c>
      <c r="B54" s="76" t="inlineStr">
        <is>
          <t>Phase 4 — GenAI</t>
        </is>
      </c>
      <c r="C54" s="77" t="inlineStr">
        <is>
          <t>10–12</t>
        </is>
      </c>
      <c r="D54" s="78" t="inlineStr">
        <is>
          <t>Ollama</t>
        </is>
      </c>
      <c r="E54" s="79" t="inlineStr">
        <is>
          <t>Ollama REST API</t>
        </is>
      </c>
      <c r="F54" s="60" t="inlineStr">
        <is>
          <t>POST /api/generate, stream:false, stream:true — call from Node.js with fetch</t>
        </is>
      </c>
      <c r="G54" s="61" t="inlineStr">
        <is>
          <t>Medium</t>
        </is>
      </c>
      <c r="H54" s="62" t="inlineStr">
        <is>
          <t>Not Started</t>
        </is>
      </c>
      <c r="I54" s="63" t="n"/>
      <c r="J54" s="63" t="n"/>
      <c r="K54" s="63" t="n"/>
      <c r="L54" s="61" t="n"/>
      <c r="M54" s="64" t="inlineStr"/>
    </row>
    <row r="55" ht="34" customHeight="1">
      <c r="A55" s="75" t="inlineStr">
        <is>
          <t>5</t>
        </is>
      </c>
      <c r="B55" s="76" t="inlineStr">
        <is>
          <t>Phase 4 — GenAI</t>
        </is>
      </c>
      <c r="C55" s="77" t="inlineStr">
        <is>
          <t>10–12</t>
        </is>
      </c>
      <c r="D55" s="78" t="inlineStr">
        <is>
          <t>Embeddings</t>
        </is>
      </c>
      <c r="E55" s="79" t="inlineStr">
        <is>
          <t>Concept &amp; Theory</t>
        </is>
      </c>
      <c r="F55" s="60" t="inlineStr">
        <is>
          <t>What are embeddings, vector space, cosine similarity, why they matter for RAG</t>
        </is>
      </c>
      <c r="G55" s="61" t="inlineStr">
        <is>
          <t>Medium</t>
        </is>
      </c>
      <c r="H55" s="62" t="inlineStr">
        <is>
          <t>Not Started</t>
        </is>
      </c>
      <c r="I55" s="63" t="n"/>
      <c r="J55" s="63" t="n"/>
      <c r="K55" s="63" t="n"/>
      <c r="L55" s="61" t="n"/>
      <c r="M55" s="64" t="inlineStr"/>
    </row>
    <row r="56" ht="34" customHeight="1">
      <c r="A56" s="75" t="inlineStr">
        <is>
          <t>6</t>
        </is>
      </c>
      <c r="B56" s="76" t="inlineStr">
        <is>
          <t>Phase 4 — GenAI</t>
        </is>
      </c>
      <c r="C56" s="77" t="inlineStr">
        <is>
          <t>10–12</t>
        </is>
      </c>
      <c r="D56" s="78" t="inlineStr">
        <is>
          <t>Embeddings</t>
        </is>
      </c>
      <c r="E56" s="79" t="inlineStr">
        <is>
          <t>Pull Embedding Model</t>
        </is>
      </c>
      <c r="F56" s="60" t="inlineStr">
        <is>
          <t>ollama pull nomic-embed-text, test POST /api/embeddings, inspect vector dimensions</t>
        </is>
      </c>
      <c r="G56" s="61" t="inlineStr">
        <is>
          <t>Medium</t>
        </is>
      </c>
      <c r="H56" s="62" t="inlineStr">
        <is>
          <t>Not Started</t>
        </is>
      </c>
      <c r="I56" s="63" t="n"/>
      <c r="J56" s="63" t="n"/>
      <c r="K56" s="63" t="n"/>
      <c r="L56" s="61" t="n"/>
      <c r="M56" s="64" t="inlineStr"/>
    </row>
    <row r="57" ht="34" customHeight="1">
      <c r="A57" s="75" t="inlineStr">
        <is>
          <t>7</t>
        </is>
      </c>
      <c r="B57" s="76" t="inlineStr">
        <is>
          <t>Phase 4 — GenAI</t>
        </is>
      </c>
      <c r="C57" s="77" t="inlineStr">
        <is>
          <t>10–12</t>
        </is>
      </c>
      <c r="D57" s="78" t="inlineStr">
        <is>
          <t>Embeddings</t>
        </is>
      </c>
      <c r="E57" s="79" t="inlineStr">
        <is>
          <t>Similarity Search Concept</t>
        </is>
      </c>
      <c r="F57" s="60" t="inlineStr">
        <is>
          <t>Compute cosine similarity manually in JS, understand k-nearest-neighbor</t>
        </is>
      </c>
      <c r="G57" s="61" t="inlineStr">
        <is>
          <t>Medium</t>
        </is>
      </c>
      <c r="H57" s="62" t="inlineStr">
        <is>
          <t>Not Started</t>
        </is>
      </c>
      <c r="I57" s="63" t="n"/>
      <c r="J57" s="63" t="n"/>
      <c r="K57" s="63" t="n"/>
      <c r="L57" s="61" t="n"/>
      <c r="M57" s="64" t="inlineStr"/>
    </row>
    <row r="58" ht="34" customHeight="1">
      <c r="A58" s="75" t="inlineStr">
        <is>
          <t>8</t>
        </is>
      </c>
      <c r="B58" s="76" t="inlineStr">
        <is>
          <t>Phase 4 — GenAI</t>
        </is>
      </c>
      <c r="C58" s="77" t="inlineStr">
        <is>
          <t>10–12</t>
        </is>
      </c>
      <c r="D58" s="78" t="inlineStr">
        <is>
          <t>LangChain JS</t>
        </is>
      </c>
      <c r="E58" s="79" t="inlineStr">
        <is>
          <t>Setup</t>
        </is>
      </c>
      <c r="F58" s="60" t="inlineStr">
        <is>
          <t>npm install langchain @langchain/community @langchain/ollama</t>
        </is>
      </c>
      <c r="G58" s="61" t="inlineStr">
        <is>
          <t>Medium</t>
        </is>
      </c>
      <c r="H58" s="62" t="inlineStr">
        <is>
          <t>Not Started</t>
        </is>
      </c>
      <c r="I58" s="63" t="n"/>
      <c r="J58" s="63" t="n"/>
      <c r="K58" s="63" t="n"/>
      <c r="L58" s="61" t="n"/>
      <c r="M58" s="64" t="inlineStr"/>
    </row>
    <row r="59" ht="34" customHeight="1">
      <c r="A59" s="75" t="inlineStr">
        <is>
          <t>9</t>
        </is>
      </c>
      <c r="B59" s="76" t="inlineStr">
        <is>
          <t>Phase 4 — GenAI</t>
        </is>
      </c>
      <c r="C59" s="77" t="inlineStr">
        <is>
          <t>10–12</t>
        </is>
      </c>
      <c r="D59" s="78" t="inlineStr">
        <is>
          <t>LangChain JS</t>
        </is>
      </c>
      <c r="E59" s="79" t="inlineStr">
        <is>
          <t>Simple Chain</t>
        </is>
      </c>
      <c r="F59" s="60" t="inlineStr">
        <is>
          <t>PromptTemplate → OllamaLLM → StringOutputParser — test with simple questions</t>
        </is>
      </c>
      <c r="G59" s="61" t="inlineStr">
        <is>
          <t>Medium</t>
        </is>
      </c>
      <c r="H59" s="62" t="inlineStr">
        <is>
          <t>Not Started</t>
        </is>
      </c>
      <c r="I59" s="63" t="n"/>
      <c r="J59" s="63" t="n"/>
      <c r="K59" s="63" t="n"/>
      <c r="L59" s="61" t="n"/>
      <c r="M59" s="64" t="inlineStr"/>
    </row>
    <row r="60" ht="34" customHeight="1">
      <c r="A60" s="75" t="inlineStr">
        <is>
          <t>10</t>
        </is>
      </c>
      <c r="B60" s="76" t="inlineStr">
        <is>
          <t>Phase 4 — GenAI</t>
        </is>
      </c>
      <c r="C60" s="77" t="inlineStr">
        <is>
          <t>10–12</t>
        </is>
      </c>
      <c r="D60" s="78" t="inlineStr">
        <is>
          <t>FAISS</t>
        </is>
      </c>
      <c r="E60" s="79" t="inlineStr">
        <is>
          <t>Setup &amp; Basic Ops</t>
        </is>
      </c>
      <c r="F60" s="60" t="inlineStr">
        <is>
          <t>npm install faiss-node (or via @langchain/community), create store, basic test</t>
        </is>
      </c>
      <c r="G60" s="61" t="inlineStr">
        <is>
          <t>Medium</t>
        </is>
      </c>
      <c r="H60" s="62" t="inlineStr">
        <is>
          <t>Not Started</t>
        </is>
      </c>
      <c r="I60" s="63" t="n"/>
      <c r="J60" s="63" t="n"/>
      <c r="K60" s="63" t="n"/>
      <c r="L60" s="61" t="n"/>
      <c r="M60" s="64" t="inlineStr"/>
    </row>
    <row r="61" ht="34" customHeight="1">
      <c r="A61" s="75" t="inlineStr">
        <is>
          <t>11</t>
        </is>
      </c>
      <c r="B61" s="76" t="inlineStr">
        <is>
          <t>Phase 4 — GenAI</t>
        </is>
      </c>
      <c r="C61" s="77" t="inlineStr">
        <is>
          <t>10–12</t>
        </is>
      </c>
      <c r="D61" s="78" t="inlineStr">
        <is>
          <t>FAISS</t>
        </is>
      </c>
      <c r="E61" s="79" t="inlineStr">
        <is>
          <t>Vector Store CRUD</t>
        </is>
      </c>
      <c r="F61" s="60" t="inlineStr">
        <is>
          <t>addDocuments, similaritySearch(query, k), saveLocal, loadFromLocal</t>
        </is>
      </c>
      <c r="G61" s="61" t="inlineStr">
        <is>
          <t>Medium</t>
        </is>
      </c>
      <c r="H61" s="62" t="inlineStr">
        <is>
          <t>Not Started</t>
        </is>
      </c>
      <c r="I61" s="63" t="n"/>
      <c r="J61" s="63" t="n"/>
      <c r="K61" s="63" t="n"/>
      <c r="L61" s="61" t="n"/>
      <c r="M61" s="64" t="inlineStr"/>
    </row>
    <row r="62" ht="34" customHeight="1">
      <c r="A62" s="75" t="inlineStr">
        <is>
          <t>12</t>
        </is>
      </c>
      <c r="B62" s="76" t="inlineStr">
        <is>
          <t>Phase 4 — GenAI</t>
        </is>
      </c>
      <c r="C62" s="77" t="inlineStr">
        <is>
          <t>10–12</t>
        </is>
      </c>
      <c r="D62" s="78" t="inlineStr">
        <is>
          <t>RAG</t>
        </is>
      </c>
      <c r="E62" s="79" t="inlineStr">
        <is>
          <t>Build RAG Chain</t>
        </is>
      </c>
      <c r="F62" s="60" t="inlineStr">
        <is>
          <t>Query → FAISS similarity search → format context → Ollama LLM → answer</t>
        </is>
      </c>
      <c r="G62" s="61" t="inlineStr">
        <is>
          <t>Medium</t>
        </is>
      </c>
      <c r="H62" s="62" t="inlineStr">
        <is>
          <t>Not Started</t>
        </is>
      </c>
      <c r="I62" s="63" t="n"/>
      <c r="J62" s="63" t="n"/>
      <c r="K62" s="63" t="n"/>
      <c r="L62" s="61" t="n"/>
      <c r="M62" s="64" t="inlineStr"/>
    </row>
    <row r="63" ht="34" customHeight="1">
      <c r="A63" s="75" t="inlineStr">
        <is>
          <t>13</t>
        </is>
      </c>
      <c r="B63" s="76" t="inlineStr">
        <is>
          <t>Phase 4 — GenAI</t>
        </is>
      </c>
      <c r="C63" s="77" t="inlineStr">
        <is>
          <t>10–12</t>
        </is>
      </c>
      <c r="D63" s="78" t="inlineStr">
        <is>
          <t>RAG</t>
        </is>
      </c>
      <c r="E63" s="79" t="inlineStr">
        <is>
          <t>End-to-End Test</t>
        </is>
      </c>
      <c r="F63" s="60" t="inlineStr">
        <is>
          <t>Feed 5+ documents, ask 10 questions, verify retrieved context is relevant</t>
        </is>
      </c>
      <c r="G63" s="61" t="inlineStr">
        <is>
          <t>Medium</t>
        </is>
      </c>
      <c r="H63" s="62" t="inlineStr">
        <is>
          <t>Not Started</t>
        </is>
      </c>
      <c r="I63" s="63" t="n"/>
      <c r="J63" s="63" t="n"/>
      <c r="K63" s="63" t="n"/>
      <c r="L63" s="61" t="n"/>
      <c r="M63" s="64" t="inlineStr"/>
    </row>
    <row r="64" ht="34" customHeight="1">
      <c r="A64" s="75" t="inlineStr">
        <is>
          <t>14</t>
        </is>
      </c>
      <c r="B64" s="76" t="inlineStr">
        <is>
          <t>Phase 4 — GenAI</t>
        </is>
      </c>
      <c r="C64" s="77" t="inlineStr">
        <is>
          <t>10–12</t>
        </is>
      </c>
      <c r="D64" s="78" t="inlineStr">
        <is>
          <t>AI Features</t>
        </is>
      </c>
      <c r="E64" s="79" t="inlineStr">
        <is>
          <t>NL Task Input</t>
        </is>
      </c>
      <c r="F64" s="60" t="inlineStr">
        <is>
          <t>Parse natural language ("remind me Friday") via LLM → structured task → DB</t>
        </is>
      </c>
      <c r="G64" s="61" t="inlineStr">
        <is>
          <t>Medium</t>
        </is>
      </c>
      <c r="H64" s="62" t="inlineStr">
        <is>
          <t>Not Started</t>
        </is>
      </c>
      <c r="I64" s="63" t="n"/>
      <c r="J64" s="63" t="n"/>
      <c r="K64" s="63" t="n"/>
      <c r="L64" s="61" t="n"/>
      <c r="M64" s="64" t="inlineStr"/>
    </row>
    <row r="65" ht="34" customHeight="1">
      <c r="A65" s="75" t="inlineStr">
        <is>
          <t>15</t>
        </is>
      </c>
      <c r="B65" s="76" t="inlineStr">
        <is>
          <t>Phase 4 — GenAI</t>
        </is>
      </c>
      <c r="C65" s="77" t="inlineStr">
        <is>
          <t>10–12</t>
        </is>
      </c>
      <c r="D65" s="78" t="inlineStr">
        <is>
          <t>AI Features</t>
        </is>
      </c>
      <c r="E65" s="79" t="inlineStr">
        <is>
          <t>AI Task Suggestions</t>
        </is>
      </c>
      <c r="F65" s="60" t="inlineStr">
        <is>
          <t>Based on existing tasks, ask LLM for next recommended actions with context</t>
        </is>
      </c>
      <c r="G65" s="61" t="inlineStr">
        <is>
          <t>Medium</t>
        </is>
      </c>
      <c r="H65" s="62" t="inlineStr">
        <is>
          <t>Not Started</t>
        </is>
      </c>
      <c r="I65" s="63" t="n"/>
      <c r="J65" s="63" t="n"/>
      <c r="K65" s="63" t="n"/>
      <c r="L65" s="61" t="n"/>
      <c r="M65" s="64" t="inlineStr"/>
    </row>
    <row r="66" ht="34" customHeight="1">
      <c r="A66" s="75" t="inlineStr">
        <is>
          <t>16</t>
        </is>
      </c>
      <c r="B66" s="76" t="inlineStr">
        <is>
          <t>Phase 4 — GenAI</t>
        </is>
      </c>
      <c r="C66" s="77" t="inlineStr">
        <is>
          <t>10–12</t>
        </is>
      </c>
      <c r="D66" s="78" t="inlineStr">
        <is>
          <t>AI Features</t>
        </is>
      </c>
      <c r="E66" s="79" t="inlineStr">
        <is>
          <t>Full Integration Test</t>
        </is>
      </c>
      <c r="F66" s="60" t="inlineStr">
        <is>
          <t>Test NL input + AI suggestions in TODO app (React + Express + Ollama + FAISS)</t>
        </is>
      </c>
      <c r="G66" s="61" t="inlineStr">
        <is>
          <t>Medium</t>
        </is>
      </c>
      <c r="H66" s="62" t="inlineStr">
        <is>
          <t>Not Started</t>
        </is>
      </c>
      <c r="I66" s="63" t="n"/>
      <c r="J66" s="63" t="n"/>
      <c r="K66" s="63" t="n"/>
      <c r="L66" s="61" t="n"/>
      <c r="M66" s="64" t="inlineStr"/>
    </row>
    <row r="67" ht="34" customHeight="1">
      <c r="A67" s="80" t="inlineStr">
        <is>
          <t>1</t>
        </is>
      </c>
      <c r="B67" s="81" t="inlineStr">
        <is>
          <t>Phase 5 — Interview Project</t>
        </is>
      </c>
      <c r="C67" s="82" t="inlineStr">
        <is>
          <t>13–16</t>
        </is>
      </c>
      <c r="D67" s="83" t="inlineStr">
        <is>
          <t>Planning</t>
        </is>
      </c>
      <c r="E67" s="84" t="inlineStr">
        <is>
          <t>Architecture Design</t>
        </is>
      </c>
      <c r="F67" s="60" t="inlineStr">
        <is>
          <t>Draw full system diagram, define all API endpoints, data flow, tech decisions</t>
        </is>
      </c>
      <c r="G67" s="61" t="inlineStr">
        <is>
          <t>Medium</t>
        </is>
      </c>
      <c r="H67" s="62" t="inlineStr">
        <is>
          <t>Not Started</t>
        </is>
      </c>
      <c r="I67" s="63" t="n"/>
      <c r="J67" s="63" t="n"/>
      <c r="K67" s="63" t="n"/>
      <c r="L67" s="61" t="n"/>
      <c r="M67" s="64" t="inlineStr"/>
    </row>
    <row r="68" ht="34" customHeight="1">
      <c r="A68" s="80" t="inlineStr">
        <is>
          <t>2</t>
        </is>
      </c>
      <c r="B68" s="81" t="inlineStr">
        <is>
          <t>Phase 5 — Interview Project</t>
        </is>
      </c>
      <c r="C68" s="82" t="inlineStr">
        <is>
          <t>13–16</t>
        </is>
      </c>
      <c r="D68" s="83" t="inlineStr">
        <is>
          <t>Backend</t>
        </is>
      </c>
      <c r="E68" s="84" t="inlineStr">
        <is>
          <t>Express.js Setup</t>
        </is>
      </c>
      <c r="F68" s="60" t="inlineStr">
        <is>
          <t>New project, folder structure (routes/controllers/services), env vars, nodemon</t>
        </is>
      </c>
      <c r="G68" s="61" t="inlineStr">
        <is>
          <t>Medium</t>
        </is>
      </c>
      <c r="H68" s="62" t="inlineStr">
        <is>
          <t>Not Started</t>
        </is>
      </c>
      <c r="I68" s="63" t="n"/>
      <c r="J68" s="63" t="n"/>
      <c r="K68" s="63" t="n"/>
      <c r="L68" s="61" t="n"/>
      <c r="M68" s="64" t="inlineStr"/>
    </row>
    <row r="69" ht="34" customHeight="1">
      <c r="A69" s="80" t="inlineStr">
        <is>
          <t>3</t>
        </is>
      </c>
      <c r="B69" s="81" t="inlineStr">
        <is>
          <t>Phase 5 — Interview Project</t>
        </is>
      </c>
      <c r="C69" s="82" t="inlineStr">
        <is>
          <t>13–16</t>
        </is>
      </c>
      <c r="D69" s="83" t="inlineStr">
        <is>
          <t>Backend</t>
        </is>
      </c>
      <c r="E69" s="84" t="inlineStr">
        <is>
          <t>File Upload (Multer)</t>
        </is>
      </c>
      <c r="F69" s="60" t="inlineStr">
        <is>
          <t>npm install multer, diskStorage config, MIME type + size validation, /uploads dir</t>
        </is>
      </c>
      <c r="G69" s="61" t="inlineStr">
        <is>
          <t>Medium</t>
        </is>
      </c>
      <c r="H69" s="62" t="inlineStr">
        <is>
          <t>Not Started</t>
        </is>
      </c>
      <c r="I69" s="63" t="n"/>
      <c r="J69" s="63" t="n"/>
      <c r="K69" s="63" t="n"/>
      <c r="L69" s="61" t="n"/>
      <c r="M69" s="64" t="inlineStr"/>
    </row>
    <row r="70" ht="34" customHeight="1">
      <c r="A70" s="80" t="inlineStr">
        <is>
          <t>4</t>
        </is>
      </c>
      <c r="B70" s="81" t="inlineStr">
        <is>
          <t>Phase 5 — Interview Project</t>
        </is>
      </c>
      <c r="C70" s="82" t="inlineStr">
        <is>
          <t>13–16</t>
        </is>
      </c>
      <c r="D70" s="83" t="inlineStr">
        <is>
          <t>Backend</t>
        </is>
      </c>
      <c r="E70" s="84" t="inlineStr">
        <is>
          <t>PDF Parser</t>
        </is>
      </c>
      <c r="F70" s="60" t="inlineStr">
        <is>
          <t>LangChain PDFLoader or pdf-parse — extract raw text from uploaded PDF</t>
        </is>
      </c>
      <c r="G70" s="61" t="inlineStr">
        <is>
          <t>Medium</t>
        </is>
      </c>
      <c r="H70" s="62" t="inlineStr">
        <is>
          <t>Not Started</t>
        </is>
      </c>
      <c r="I70" s="63" t="n"/>
      <c r="J70" s="63" t="n"/>
      <c r="K70" s="63" t="n"/>
      <c r="L70" s="61" t="n"/>
      <c r="M70" s="64" t="inlineStr"/>
    </row>
    <row r="71" ht="34" customHeight="1">
      <c r="A71" s="80" t="inlineStr">
        <is>
          <t>5</t>
        </is>
      </c>
      <c r="B71" s="81" t="inlineStr">
        <is>
          <t>Phase 5 — Interview Project</t>
        </is>
      </c>
      <c r="C71" s="82" t="inlineStr">
        <is>
          <t>13–16</t>
        </is>
      </c>
      <c r="D71" s="83" t="inlineStr">
        <is>
          <t>Backend</t>
        </is>
      </c>
      <c r="E71" s="84" t="inlineStr">
        <is>
          <t>TXT Parser</t>
        </is>
      </c>
      <c r="F71" s="60" t="inlineStr">
        <is>
          <t>fs.readFile for plain text, normalize whitespace, handle encoding (UTF-8)</t>
        </is>
      </c>
      <c r="G71" s="61" t="inlineStr">
        <is>
          <t>Medium</t>
        </is>
      </c>
      <c r="H71" s="62" t="inlineStr">
        <is>
          <t>Not Started</t>
        </is>
      </c>
      <c r="I71" s="63" t="n"/>
      <c r="J71" s="63" t="n"/>
      <c r="K71" s="63" t="n"/>
      <c r="L71" s="61" t="n"/>
      <c r="M71" s="64" t="inlineStr"/>
    </row>
    <row r="72" ht="34" customHeight="1">
      <c r="A72" s="80" t="inlineStr">
        <is>
          <t>6</t>
        </is>
      </c>
      <c r="B72" s="81" t="inlineStr">
        <is>
          <t>Phase 5 — Interview Project</t>
        </is>
      </c>
      <c r="C72" s="82" t="inlineStr">
        <is>
          <t>13–16</t>
        </is>
      </c>
      <c r="D72" s="83" t="inlineStr">
        <is>
          <t>LangChain</t>
        </is>
      </c>
      <c r="E72" s="84" t="inlineStr">
        <is>
          <t>Text Chunking</t>
        </is>
      </c>
      <c r="F72" s="60" t="inlineStr">
        <is>
          <t>RecursiveCharacterTextSplitter, chunkSize:500, chunkOverlap:50, inspect chunks</t>
        </is>
      </c>
      <c r="G72" s="61" t="inlineStr">
        <is>
          <t>Medium</t>
        </is>
      </c>
      <c r="H72" s="62" t="inlineStr">
        <is>
          <t>Not Started</t>
        </is>
      </c>
      <c r="I72" s="63" t="n"/>
      <c r="J72" s="63" t="n"/>
      <c r="K72" s="63" t="n"/>
      <c r="L72" s="61" t="n"/>
      <c r="M72" s="64" t="inlineStr"/>
    </row>
    <row r="73" ht="34" customHeight="1">
      <c r="A73" s="80" t="inlineStr">
        <is>
          <t>7</t>
        </is>
      </c>
      <c r="B73" s="81" t="inlineStr">
        <is>
          <t>Phase 5 — Interview Project</t>
        </is>
      </c>
      <c r="C73" s="82" t="inlineStr">
        <is>
          <t>13–16</t>
        </is>
      </c>
      <c r="D73" s="83" t="inlineStr">
        <is>
          <t>LangChain</t>
        </is>
      </c>
      <c r="E73" s="84" t="inlineStr">
        <is>
          <t>Embed Chunks</t>
        </is>
      </c>
      <c r="F73" s="60" t="inlineStr">
        <is>
          <t>OllamaEmbeddings with nomic-embed-text, embed all chunks, inspect vector shape</t>
        </is>
      </c>
      <c r="G73" s="61" t="inlineStr">
        <is>
          <t>Medium</t>
        </is>
      </c>
      <c r="H73" s="62" t="inlineStr">
        <is>
          <t>Not Started</t>
        </is>
      </c>
      <c r="I73" s="63" t="n"/>
      <c r="J73" s="63" t="n"/>
      <c r="K73" s="63" t="n"/>
      <c r="L73" s="61" t="n"/>
      <c r="M73" s="64" t="inlineStr"/>
    </row>
    <row r="74" ht="34" customHeight="1">
      <c r="A74" s="80" t="inlineStr">
        <is>
          <t>8</t>
        </is>
      </c>
      <c r="B74" s="81" t="inlineStr">
        <is>
          <t>Phase 5 — Interview Project</t>
        </is>
      </c>
      <c r="C74" s="82" t="inlineStr">
        <is>
          <t>13–16</t>
        </is>
      </c>
      <c r="D74" s="83" t="inlineStr">
        <is>
          <t>FAISS</t>
        </is>
      </c>
      <c r="E74" s="84" t="inlineStr">
        <is>
          <t>Build Vector Store</t>
        </is>
      </c>
      <c r="F74" s="60" t="inlineStr">
        <is>
          <t>FaissStore.fromDocuments(), save per documentId, load on query request</t>
        </is>
      </c>
      <c r="G74" s="61" t="inlineStr">
        <is>
          <t>Medium</t>
        </is>
      </c>
      <c r="H74" s="62" t="inlineStr">
        <is>
          <t>Not Started</t>
        </is>
      </c>
      <c r="I74" s="63" t="n"/>
      <c r="J74" s="63" t="n"/>
      <c r="K74" s="63" t="n"/>
      <c r="L74" s="61" t="n"/>
      <c r="M74" s="64" t="inlineStr"/>
    </row>
    <row r="75" ht="34" customHeight="1">
      <c r="A75" s="80" t="inlineStr">
        <is>
          <t>9</t>
        </is>
      </c>
      <c r="B75" s="81" t="inlineStr">
        <is>
          <t>Phase 5 — Interview Project</t>
        </is>
      </c>
      <c r="C75" s="82" t="inlineStr">
        <is>
          <t>13–16</t>
        </is>
      </c>
      <c r="D75" s="83" t="inlineStr">
        <is>
          <t>Backend</t>
        </is>
      </c>
      <c r="E75" s="84" t="inlineStr">
        <is>
          <t>Retrieval Endpoint</t>
        </is>
      </c>
      <c r="F75" s="60" t="inlineStr">
        <is>
          <t>POST /ask — load FAISS for doc, similaritySearch top 5, return chunks + metadata</t>
        </is>
      </c>
      <c r="G75" s="61" t="inlineStr">
        <is>
          <t>Medium</t>
        </is>
      </c>
      <c r="H75" s="62" t="inlineStr">
        <is>
          <t>Not Started</t>
        </is>
      </c>
      <c r="I75" s="63" t="n"/>
      <c r="J75" s="63" t="n"/>
      <c r="K75" s="63" t="n"/>
      <c r="L75" s="61" t="n"/>
      <c r="M75" s="64" t="inlineStr"/>
    </row>
    <row r="76" ht="34" customHeight="1">
      <c r="A76" s="80" t="inlineStr">
        <is>
          <t>10</t>
        </is>
      </c>
      <c r="B76" s="81" t="inlineStr">
        <is>
          <t>Phase 5 — Interview Project</t>
        </is>
      </c>
      <c r="C76" s="82" t="inlineStr">
        <is>
          <t>13–16</t>
        </is>
      </c>
      <c r="D76" s="83" t="inlineStr">
        <is>
          <t>LangChain</t>
        </is>
      </c>
      <c r="E76" s="84" t="inlineStr">
        <is>
          <t>RAG Pipeline</t>
        </is>
      </c>
      <c r="F76" s="60" t="inlineStr">
        <is>
          <t>RetrievalQAChain or custom: retrieve → format context → Ollama → response</t>
        </is>
      </c>
      <c r="G76" s="61" t="inlineStr">
        <is>
          <t>Medium</t>
        </is>
      </c>
      <c r="H76" s="62" t="inlineStr">
        <is>
          <t>Not Started</t>
        </is>
      </c>
      <c r="I76" s="63" t="n"/>
      <c r="J76" s="63" t="n"/>
      <c r="K76" s="63" t="n"/>
      <c r="L76" s="61" t="n"/>
      <c r="M76" s="64" t="inlineStr"/>
    </row>
    <row r="77" ht="34" customHeight="1">
      <c r="A77" s="80" t="inlineStr">
        <is>
          <t>11</t>
        </is>
      </c>
      <c r="B77" s="81" t="inlineStr">
        <is>
          <t>Phase 5 — Interview Project</t>
        </is>
      </c>
      <c r="C77" s="82" t="inlineStr">
        <is>
          <t>13–16</t>
        </is>
      </c>
      <c r="D77" s="83" t="inlineStr">
        <is>
          <t>Backend</t>
        </is>
      </c>
      <c r="E77" s="84" t="inlineStr">
        <is>
          <t>Streaming Response</t>
        </is>
      </c>
      <c r="F77" s="60" t="inlineStr">
        <is>
          <t>Stream Ollama response via Server-Sent Events (res.write) or chunked transfer</t>
        </is>
      </c>
      <c r="G77" s="61" t="inlineStr">
        <is>
          <t>Medium</t>
        </is>
      </c>
      <c r="H77" s="62" t="inlineStr">
        <is>
          <t>Not Started</t>
        </is>
      </c>
      <c r="I77" s="63" t="n"/>
      <c r="J77" s="63" t="n"/>
      <c r="K77" s="63" t="n"/>
      <c r="L77" s="61" t="n"/>
      <c r="M77" s="64" t="inlineStr"/>
    </row>
    <row r="78" ht="34" customHeight="1">
      <c r="A78" s="80" t="inlineStr">
        <is>
          <t>12</t>
        </is>
      </c>
      <c r="B78" s="81" t="inlineStr">
        <is>
          <t>Phase 5 — Interview Project</t>
        </is>
      </c>
      <c r="C78" s="82" t="inlineStr">
        <is>
          <t>13–16</t>
        </is>
      </c>
      <c r="D78" s="83" t="inlineStr">
        <is>
          <t>Frontend</t>
        </is>
      </c>
      <c r="E78" s="84" t="inlineStr">
        <is>
          <t>React + Tailwind Setup</t>
        </is>
      </c>
      <c r="F78" s="60" t="inlineStr">
        <is>
          <t>Vite + React, install Tailwind + Axios, folder structure, Axios base instance</t>
        </is>
      </c>
      <c r="G78" s="61" t="inlineStr">
        <is>
          <t>Medium</t>
        </is>
      </c>
      <c r="H78" s="62" t="inlineStr">
        <is>
          <t>Not Started</t>
        </is>
      </c>
      <c r="I78" s="63" t="n"/>
      <c r="J78" s="63" t="n"/>
      <c r="K78" s="63" t="n"/>
      <c r="L78" s="61" t="n"/>
      <c r="M78" s="64" t="inlineStr"/>
    </row>
    <row r="79" ht="34" customHeight="1">
      <c r="A79" s="80" t="inlineStr">
        <is>
          <t>13</t>
        </is>
      </c>
      <c r="B79" s="81" t="inlineStr">
        <is>
          <t>Phase 5 — Interview Project</t>
        </is>
      </c>
      <c r="C79" s="82" t="inlineStr">
        <is>
          <t>13–16</t>
        </is>
      </c>
      <c r="D79" s="83" t="inlineStr">
        <is>
          <t>Frontend</t>
        </is>
      </c>
      <c r="E79" s="84" t="inlineStr">
        <is>
          <t>Upload Panel</t>
        </is>
      </c>
      <c r="F79" s="60" t="inlineStr">
        <is>
          <t>Drag-and-drop or click-to-upload, file type badge, upload progress indicator</t>
        </is>
      </c>
      <c r="G79" s="61" t="inlineStr">
        <is>
          <t>Medium</t>
        </is>
      </c>
      <c r="H79" s="62" t="inlineStr">
        <is>
          <t>Not Started</t>
        </is>
      </c>
      <c r="I79" s="63" t="n"/>
      <c r="J79" s="63" t="n"/>
      <c r="K79" s="63" t="n"/>
      <c r="L79" s="61" t="n"/>
      <c r="M79" s="64" t="inlineStr"/>
    </row>
    <row r="80" ht="34" customHeight="1">
      <c r="A80" s="80" t="inlineStr">
        <is>
          <t>14</t>
        </is>
      </c>
      <c r="B80" s="81" t="inlineStr">
        <is>
          <t>Phase 5 — Interview Project</t>
        </is>
      </c>
      <c r="C80" s="82" t="inlineStr">
        <is>
          <t>13–16</t>
        </is>
      </c>
      <c r="D80" s="83" t="inlineStr">
        <is>
          <t>Frontend</t>
        </is>
      </c>
      <c r="E80" s="84" t="inlineStr">
        <is>
          <t>Chat UI</t>
        </is>
      </c>
      <c r="F80" s="60" t="inlineStr">
        <is>
          <t>Message thread (user/bot bubbles), auto-scroll to bottom, timestamps, avatars</t>
        </is>
      </c>
      <c r="G80" s="61" t="inlineStr">
        <is>
          <t>Medium</t>
        </is>
      </c>
      <c r="H80" s="62" t="inlineStr">
        <is>
          <t>Not Started</t>
        </is>
      </c>
      <c r="I80" s="63" t="n"/>
      <c r="J80" s="63" t="n"/>
      <c r="K80" s="63" t="n"/>
      <c r="L80" s="61" t="n"/>
      <c r="M80" s="64" t="inlineStr"/>
    </row>
    <row r="81" ht="34" customHeight="1">
      <c r="A81" s="80" t="inlineStr">
        <is>
          <t>15</t>
        </is>
      </c>
      <c r="B81" s="81" t="inlineStr">
        <is>
          <t>Phase 5 — Interview Project</t>
        </is>
      </c>
      <c r="C81" s="82" t="inlineStr">
        <is>
          <t>13–16</t>
        </is>
      </c>
      <c r="D81" s="83" t="inlineStr">
        <is>
          <t>Frontend</t>
        </is>
      </c>
      <c r="E81" s="84" t="inlineStr">
        <is>
          <t>Streaming in UI</t>
        </is>
      </c>
      <c r="F81" s="60" t="inlineStr">
        <is>
          <t>Handle chunked tokens as they arrive, typewriter effect, stop generation button</t>
        </is>
      </c>
      <c r="G81" s="61" t="inlineStr">
        <is>
          <t>Medium</t>
        </is>
      </c>
      <c r="H81" s="62" t="inlineStr">
        <is>
          <t>Not Started</t>
        </is>
      </c>
      <c r="I81" s="63" t="n"/>
      <c r="J81" s="63" t="n"/>
      <c r="K81" s="63" t="n"/>
      <c r="L81" s="61" t="n"/>
      <c r="M81" s="64" t="inlineStr"/>
    </row>
    <row r="82" ht="34" customHeight="1">
      <c r="A82" s="80" t="inlineStr">
        <is>
          <t>16</t>
        </is>
      </c>
      <c r="B82" s="81" t="inlineStr">
        <is>
          <t>Phase 5 — Interview Project</t>
        </is>
      </c>
      <c r="C82" s="82" t="inlineStr">
        <is>
          <t>13–16</t>
        </is>
      </c>
      <c r="D82" s="83" t="inlineStr">
        <is>
          <t>Frontend</t>
        </is>
      </c>
      <c r="E82" s="84" t="inlineStr">
        <is>
          <t>Loading &amp; Error States</t>
        </is>
      </c>
      <c r="F82" s="60" t="inlineStr">
        <is>
          <t>Skeleton loaders, error toast, retry button, empty state with upload prompt</t>
        </is>
      </c>
      <c r="G82" s="61" t="inlineStr">
        <is>
          <t>Medium</t>
        </is>
      </c>
      <c r="H82" s="62" t="inlineStr">
        <is>
          <t>Not Started</t>
        </is>
      </c>
      <c r="I82" s="63" t="n"/>
      <c r="J82" s="63" t="n"/>
      <c r="K82" s="63" t="n"/>
      <c r="L82" s="61" t="n"/>
      <c r="M82" s="64" t="inlineStr"/>
    </row>
    <row r="83" ht="34" customHeight="1">
      <c r="A83" s="80" t="inlineStr">
        <is>
          <t>17</t>
        </is>
      </c>
      <c r="B83" s="81" t="inlineStr">
        <is>
          <t>Phase 5 — Interview Project</t>
        </is>
      </c>
      <c r="C83" s="82" t="inlineStr">
        <is>
          <t>13–16</t>
        </is>
      </c>
      <c r="D83" s="83" t="inlineStr">
        <is>
          <t>Quality</t>
        </is>
      </c>
      <c r="E83" s="84" t="inlineStr">
        <is>
          <t>Full Local Test</t>
        </is>
      </c>
      <c r="F83" s="60" t="inlineStr">
        <is>
          <t>Upload 3+ docs, ask 10+ questions per doc, verify answer accuracy and relevance</t>
        </is>
      </c>
      <c r="G83" s="61" t="inlineStr">
        <is>
          <t>Medium</t>
        </is>
      </c>
      <c r="H83" s="62" t="inlineStr">
        <is>
          <t>Not Started</t>
        </is>
      </c>
      <c r="I83" s="63" t="n"/>
      <c r="J83" s="63" t="n"/>
      <c r="K83" s="63" t="n"/>
      <c r="L83" s="61" t="n"/>
      <c r="M83" s="64" t="inlineStr"/>
    </row>
    <row r="84" ht="34" customHeight="1">
      <c r="A84" s="80" t="inlineStr">
        <is>
          <t>18</t>
        </is>
      </c>
      <c r="B84" s="81" t="inlineStr">
        <is>
          <t>Phase 5 — Interview Project</t>
        </is>
      </c>
      <c r="C84" s="82" t="inlineStr">
        <is>
          <t>13–16</t>
        </is>
      </c>
      <c r="D84" s="83" t="inlineStr">
        <is>
          <t>Quality</t>
        </is>
      </c>
      <c r="E84" s="84" t="inlineStr">
        <is>
          <t>Write README</t>
        </is>
      </c>
      <c r="F84" s="60" t="inlineStr">
        <is>
          <t>Architecture diagram, setup instructions, screenshots, demo GIF, tech stack badges</t>
        </is>
      </c>
      <c r="G84" s="61" t="inlineStr">
        <is>
          <t>Medium</t>
        </is>
      </c>
      <c r="H84" s="62" t="inlineStr">
        <is>
          <t>Not Started</t>
        </is>
      </c>
      <c r="I84" s="63" t="n"/>
      <c r="J84" s="63" t="n"/>
      <c r="K84" s="63" t="n"/>
      <c r="L84" s="61" t="n"/>
      <c r="M84" s="64" t="inlineStr"/>
    </row>
    <row r="85" ht="34" customHeight="1">
      <c r="A85" s="85" t="inlineStr">
        <is>
          <t>1</t>
        </is>
      </c>
      <c r="B85" s="86" t="inlineStr">
        <is>
          <t>Phase 6 — Deployment + Jobs</t>
        </is>
      </c>
      <c r="C85" s="87" t="inlineStr">
        <is>
          <t>—</t>
        </is>
      </c>
      <c r="D85" s="88" t="inlineStr">
        <is>
          <t>Deployment</t>
        </is>
      </c>
      <c r="E85" s="89" t="inlineStr">
        <is>
          <t>Vercel Account Setup</t>
        </is>
      </c>
      <c r="F85" s="60" t="inlineStr">
        <is>
          <t>Sign up Vercel, install CLI (npm i -g vercel), link GitHub account</t>
        </is>
      </c>
      <c r="G85" s="61" t="inlineStr">
        <is>
          <t>Medium</t>
        </is>
      </c>
      <c r="H85" s="62" t="inlineStr">
        <is>
          <t>Not Started</t>
        </is>
      </c>
      <c r="I85" s="63" t="n"/>
      <c r="J85" s="63" t="n"/>
      <c r="K85" s="63" t="n"/>
      <c r="L85" s="61" t="n"/>
      <c r="M85" s="64" t="inlineStr"/>
    </row>
    <row r="86" ht="34" customHeight="1">
      <c r="A86" s="85" t="inlineStr">
        <is>
          <t>2</t>
        </is>
      </c>
      <c r="B86" s="86" t="inlineStr">
        <is>
          <t>Phase 6 — Deployment + Jobs</t>
        </is>
      </c>
      <c r="C86" s="87" t="inlineStr">
        <is>
          <t>—</t>
        </is>
      </c>
      <c r="D86" s="88" t="inlineStr">
        <is>
          <t>Deployment</t>
        </is>
      </c>
      <c r="E86" s="89" t="inlineStr">
        <is>
          <t>Frontend Env Vars</t>
        </is>
      </c>
      <c r="F86" s="60" t="inlineStr">
        <is>
          <t>Set VITE_API_URL to Render backend URL in Vercel Environment Variables settings</t>
        </is>
      </c>
      <c r="G86" s="61" t="inlineStr">
        <is>
          <t>Medium</t>
        </is>
      </c>
      <c r="H86" s="62" t="inlineStr">
        <is>
          <t>Not Started</t>
        </is>
      </c>
      <c r="I86" s="63" t="n"/>
      <c r="J86" s="63" t="n"/>
      <c r="K86" s="63" t="n"/>
      <c r="L86" s="61" t="n"/>
      <c r="M86" s="64" t="inlineStr"/>
    </row>
    <row r="87" ht="34" customHeight="1">
      <c r="A87" s="85" t="inlineStr">
        <is>
          <t>3</t>
        </is>
      </c>
      <c r="B87" s="86" t="inlineStr">
        <is>
          <t>Phase 6 — Deployment + Jobs</t>
        </is>
      </c>
      <c r="C87" s="87" t="inlineStr">
        <is>
          <t>—</t>
        </is>
      </c>
      <c r="D87" s="88" t="inlineStr">
        <is>
          <t>Deployment</t>
        </is>
      </c>
      <c r="E87" s="89" t="inlineStr">
        <is>
          <t>Deploy Frontend to Vercel</t>
        </is>
      </c>
      <c r="F87" s="60" t="inlineStr">
        <is>
          <t>vercel --prod, verify build output, test on *.vercel.app live URL</t>
        </is>
      </c>
      <c r="G87" s="61" t="inlineStr">
        <is>
          <t>Medium</t>
        </is>
      </c>
      <c r="H87" s="62" t="inlineStr">
        <is>
          <t>Not Started</t>
        </is>
      </c>
      <c r="I87" s="63" t="n"/>
      <c r="J87" s="63" t="n"/>
      <c r="K87" s="63" t="n"/>
      <c r="L87" s="61" t="n"/>
      <c r="M87" s="64" t="inlineStr"/>
    </row>
    <row r="88" ht="34" customHeight="1">
      <c r="A88" s="85" t="inlineStr">
        <is>
          <t>4</t>
        </is>
      </c>
      <c r="B88" s="86" t="inlineStr">
        <is>
          <t>Phase 6 — Deployment + Jobs</t>
        </is>
      </c>
      <c r="C88" s="87" t="inlineStr">
        <is>
          <t>—</t>
        </is>
      </c>
      <c r="D88" s="88" t="inlineStr">
        <is>
          <t>Deployment</t>
        </is>
      </c>
      <c r="E88" s="89" t="inlineStr">
        <is>
          <t>Render Account Setup</t>
        </is>
      </c>
      <c r="F88" s="60" t="inlineStr">
        <is>
          <t>Sign up Render, New Web Service, connect GitHub repo, set runtime: Node</t>
        </is>
      </c>
      <c r="G88" s="61" t="inlineStr">
        <is>
          <t>Medium</t>
        </is>
      </c>
      <c r="H88" s="62" t="inlineStr">
        <is>
          <t>Not Started</t>
        </is>
      </c>
      <c r="I88" s="63" t="n"/>
      <c r="J88" s="63" t="n"/>
      <c r="K88" s="63" t="n"/>
      <c r="L88" s="61" t="n"/>
      <c r="M88" s="64" t="inlineStr"/>
    </row>
    <row r="89" ht="34" customHeight="1">
      <c r="A89" s="85" t="inlineStr">
        <is>
          <t>5</t>
        </is>
      </c>
      <c r="B89" s="86" t="inlineStr">
        <is>
          <t>Phase 6 — Deployment + Jobs</t>
        </is>
      </c>
      <c r="C89" s="87" t="inlineStr">
        <is>
          <t>—</t>
        </is>
      </c>
      <c r="D89" s="88" t="inlineStr">
        <is>
          <t>Deployment</t>
        </is>
      </c>
      <c r="E89" s="89" t="inlineStr">
        <is>
          <t>Backend Env Vars</t>
        </is>
      </c>
      <c r="F89" s="60" t="inlineStr">
        <is>
          <t>Set DATABASE_URL, JWT_SECRET, CORS_ORIGIN, NODE_ENV=production on Render</t>
        </is>
      </c>
      <c r="G89" s="61" t="inlineStr">
        <is>
          <t>Medium</t>
        </is>
      </c>
      <c r="H89" s="62" t="inlineStr">
        <is>
          <t>Not Started</t>
        </is>
      </c>
      <c r="I89" s="63" t="n"/>
      <c r="J89" s="63" t="n"/>
      <c r="K89" s="63" t="n"/>
      <c r="L89" s="61" t="n"/>
      <c r="M89" s="64" t="inlineStr"/>
    </row>
    <row r="90" ht="34" customHeight="1">
      <c r="A90" s="85" t="inlineStr">
        <is>
          <t>6</t>
        </is>
      </c>
      <c r="B90" s="86" t="inlineStr">
        <is>
          <t>Phase 6 — Deployment + Jobs</t>
        </is>
      </c>
      <c r="C90" s="87" t="inlineStr">
        <is>
          <t>—</t>
        </is>
      </c>
      <c r="D90" s="88" t="inlineStr">
        <is>
          <t>Deployment</t>
        </is>
      </c>
      <c r="E90" s="89" t="inlineStr">
        <is>
          <t>Deploy Backend to Render</t>
        </is>
      </c>
      <c r="F90" s="60" t="inlineStr">
        <is>
          <t>Set build cmd: npm install, start cmd: node server.js, enable auto-deploy</t>
        </is>
      </c>
      <c r="G90" s="61" t="inlineStr">
        <is>
          <t>Medium</t>
        </is>
      </c>
      <c r="H90" s="62" t="inlineStr">
        <is>
          <t>Not Started</t>
        </is>
      </c>
      <c r="I90" s="63" t="n"/>
      <c r="J90" s="63" t="n"/>
      <c r="K90" s="63" t="n"/>
      <c r="L90" s="61" t="n"/>
      <c r="M90" s="64" t="inlineStr"/>
    </row>
    <row r="91" ht="34" customHeight="1">
      <c r="A91" s="85" t="inlineStr">
        <is>
          <t>7</t>
        </is>
      </c>
      <c r="B91" s="86" t="inlineStr">
        <is>
          <t>Phase 6 — Deployment + Jobs</t>
        </is>
      </c>
      <c r="C91" s="87" t="inlineStr">
        <is>
          <t>—</t>
        </is>
      </c>
      <c r="D91" s="88" t="inlineStr">
        <is>
          <t>Deployment</t>
        </is>
      </c>
      <c r="E91" s="89" t="inlineStr">
        <is>
          <t>Cloud Database (Neon)</t>
        </is>
      </c>
      <c r="F91" s="60" t="inlineStr">
        <is>
          <t>Create Neon or Supabase project, copy connection string, set on Render env</t>
        </is>
      </c>
      <c r="G91" s="61" t="inlineStr">
        <is>
          <t>Medium</t>
        </is>
      </c>
      <c r="H91" s="62" t="inlineStr">
        <is>
          <t>Not Started</t>
        </is>
      </c>
      <c r="I91" s="63" t="n"/>
      <c r="J91" s="63" t="n"/>
      <c r="K91" s="63" t="n"/>
      <c r="L91" s="61" t="n"/>
      <c r="M91" s="64" t="inlineStr"/>
    </row>
    <row r="92" ht="34" customHeight="1">
      <c r="A92" s="85" t="inlineStr">
        <is>
          <t>8</t>
        </is>
      </c>
      <c r="B92" s="86" t="inlineStr">
        <is>
          <t>Phase 6 — Deployment + Jobs</t>
        </is>
      </c>
      <c r="C92" s="87" t="inlineStr">
        <is>
          <t>—</t>
        </is>
      </c>
      <c r="D92" s="88" t="inlineStr">
        <is>
          <t>Deployment</t>
        </is>
      </c>
      <c r="E92" s="89" t="inlineStr">
        <is>
          <t>Migrate Schema to Cloud</t>
        </is>
      </c>
      <c r="F92" s="60" t="inlineStr">
        <is>
          <t>DATABASE_URL=&lt;neon_url&gt; npx prisma migrate deploy — verify tables in cloud</t>
        </is>
      </c>
      <c r="G92" s="61" t="inlineStr">
        <is>
          <t>Medium</t>
        </is>
      </c>
      <c r="H92" s="62" t="inlineStr">
        <is>
          <t>Not Started</t>
        </is>
      </c>
      <c r="I92" s="63" t="n"/>
      <c r="J92" s="63" t="n"/>
      <c r="K92" s="63" t="n"/>
      <c r="L92" s="61" t="n"/>
      <c r="M92" s="64" t="inlineStr"/>
    </row>
    <row r="93" ht="34" customHeight="1">
      <c r="A93" s="85" t="inlineStr">
        <is>
          <t>9</t>
        </is>
      </c>
      <c r="B93" s="86" t="inlineStr">
        <is>
          <t>Phase 6 — Deployment + Jobs</t>
        </is>
      </c>
      <c r="C93" s="87" t="inlineStr">
        <is>
          <t>—</t>
        </is>
      </c>
      <c r="D93" s="88" t="inlineStr">
        <is>
          <t>Deployment</t>
        </is>
      </c>
      <c r="E93" s="89" t="inlineStr">
        <is>
          <t>Smoke Test Live App</t>
        </is>
      </c>
      <c r="F93" s="60" t="inlineStr">
        <is>
          <t>Login, CRUD tasks, upload document, ask question — all on production URL</t>
        </is>
      </c>
      <c r="G93" s="61" t="inlineStr">
        <is>
          <t>Medium</t>
        </is>
      </c>
      <c r="H93" s="62" t="inlineStr">
        <is>
          <t>Not Started</t>
        </is>
      </c>
      <c r="I93" s="63" t="n"/>
      <c r="J93" s="63" t="n"/>
      <c r="K93" s="63" t="n"/>
      <c r="L93" s="61" t="n"/>
      <c r="M93" s="64" t="inlineStr"/>
    </row>
    <row r="94" ht="34" customHeight="1">
      <c r="A94" s="85" t="inlineStr">
        <is>
          <t>10</t>
        </is>
      </c>
      <c r="B94" s="86" t="inlineStr">
        <is>
          <t>Phase 6 — Deployment + Jobs</t>
        </is>
      </c>
      <c r="C94" s="87" t="inlineStr">
        <is>
          <t>—</t>
        </is>
      </c>
      <c r="D94" s="88" t="inlineStr">
        <is>
          <t>Portfolio</t>
        </is>
      </c>
      <c r="E94" s="89" t="inlineStr">
        <is>
          <t>Public URL + Screenshots</t>
        </is>
      </c>
      <c r="F94" s="60" t="inlineStr">
        <is>
          <t>Copy live URL, take screenshots of key flows, record 60-sec demo GIF</t>
        </is>
      </c>
      <c r="G94" s="61" t="inlineStr">
        <is>
          <t>Medium</t>
        </is>
      </c>
      <c r="H94" s="62" t="inlineStr">
        <is>
          <t>Not Started</t>
        </is>
      </c>
      <c r="I94" s="63" t="n"/>
      <c r="J94" s="63" t="n"/>
      <c r="K94" s="63" t="n"/>
      <c r="L94" s="61" t="n"/>
      <c r="M94" s="64" t="inlineStr"/>
    </row>
    <row r="95" ht="34" customHeight="1">
      <c r="A95" s="85" t="inlineStr">
        <is>
          <t>11</t>
        </is>
      </c>
      <c r="B95" s="86" t="inlineStr">
        <is>
          <t>Phase 6 — Deployment + Jobs</t>
        </is>
      </c>
      <c r="C95" s="87" t="inlineStr">
        <is>
          <t>—</t>
        </is>
      </c>
      <c r="D95" s="88" t="inlineStr">
        <is>
          <t>Portfolio</t>
        </is>
      </c>
      <c r="E95" s="89" t="inlineStr">
        <is>
          <t>Update README</t>
        </is>
      </c>
      <c r="F95" s="60" t="inlineStr">
        <is>
          <t>Add live demo badge, screenshots, architecture diagram, local setup guide</t>
        </is>
      </c>
      <c r="G95" s="61" t="inlineStr">
        <is>
          <t>Medium</t>
        </is>
      </c>
      <c r="H95" s="62" t="inlineStr">
        <is>
          <t>Not Started</t>
        </is>
      </c>
      <c r="I95" s="63" t="n"/>
      <c r="J95" s="63" t="n"/>
      <c r="K95" s="63" t="n"/>
      <c r="L95" s="61" t="n"/>
      <c r="M95" s="64" t="inlineStr"/>
    </row>
    <row r="96" ht="34" customHeight="1">
      <c r="A96" s="85" t="inlineStr">
        <is>
          <t>12</t>
        </is>
      </c>
      <c r="B96" s="86" t="inlineStr">
        <is>
          <t>Phase 6 — Deployment + Jobs</t>
        </is>
      </c>
      <c r="C96" s="87" t="inlineStr">
        <is>
          <t>—</t>
        </is>
      </c>
      <c r="D96" s="88" t="inlineStr">
        <is>
          <t>Portfolio</t>
        </is>
      </c>
      <c r="E96" s="89" t="inlineStr">
        <is>
          <t>GitHub Cleanup</t>
        </is>
      </c>
      <c r="F96" s="60" t="inlineStr">
        <is>
          <t>Pin 2 repos, add descriptions, clean commits, remove test files + console.logs</t>
        </is>
      </c>
      <c r="G96" s="61" t="inlineStr">
        <is>
          <t>Medium</t>
        </is>
      </c>
      <c r="H96" s="62" t="inlineStr">
        <is>
          <t>Not Started</t>
        </is>
      </c>
      <c r="I96" s="63" t="n"/>
      <c r="J96" s="63" t="n"/>
      <c r="K96" s="63" t="n"/>
      <c r="L96" s="61" t="n"/>
      <c r="M96" s="64" t="inlineStr"/>
    </row>
    <row r="97" ht="34" customHeight="1">
      <c r="A97" s="85" t="inlineStr">
        <is>
          <t>13</t>
        </is>
      </c>
      <c r="B97" s="86" t="inlineStr">
        <is>
          <t>Phase 6 — Deployment + Jobs</t>
        </is>
      </c>
      <c r="C97" s="87" t="inlineStr">
        <is>
          <t>—</t>
        </is>
      </c>
      <c r="D97" s="88" t="inlineStr">
        <is>
          <t>Job Prep</t>
        </is>
      </c>
      <c r="E97" s="89" t="inlineStr">
        <is>
          <t>Resume Bullets</t>
        </is>
      </c>
      <c r="F97" s="60" t="inlineStr">
        <is>
          <t>2-3 bullets per project: action verb + tech stack + measurable outcome/metric</t>
        </is>
      </c>
      <c r="G97" s="61" t="inlineStr">
        <is>
          <t>Medium</t>
        </is>
      </c>
      <c r="H97" s="62" t="inlineStr">
        <is>
          <t>Not Started</t>
        </is>
      </c>
      <c r="I97" s="63" t="n"/>
      <c r="J97" s="63" t="n"/>
      <c r="K97" s="63" t="n"/>
      <c r="L97" s="61" t="n"/>
      <c r="M97" s="64" t="inlineStr"/>
    </row>
    <row r="98" ht="34" customHeight="1">
      <c r="A98" s="85" t="inlineStr">
        <is>
          <t>14</t>
        </is>
      </c>
      <c r="B98" s="86" t="inlineStr">
        <is>
          <t>Phase 6 — Deployment + Jobs</t>
        </is>
      </c>
      <c r="C98" s="87" t="inlineStr">
        <is>
          <t>—</t>
        </is>
      </c>
      <c r="D98" s="88" t="inlineStr">
        <is>
          <t>Job Prep</t>
        </is>
      </c>
      <c r="E98" s="89" t="inlineStr">
        <is>
          <t>LinkedIn Profile Update</t>
        </is>
      </c>
      <c r="F98" s="60" t="inlineStr">
        <is>
          <t>Update headline + about section, add projects, post publicly about project</t>
        </is>
      </c>
      <c r="G98" s="61" t="inlineStr">
        <is>
          <t>Medium</t>
        </is>
      </c>
      <c r="H98" s="62" t="inlineStr">
        <is>
          <t>Not Started</t>
        </is>
      </c>
      <c r="I98" s="63" t="n"/>
      <c r="J98" s="63" t="n"/>
      <c r="K98" s="63" t="n"/>
      <c r="L98" s="61" t="n"/>
      <c r="M98" s="64" t="inlineStr"/>
    </row>
    <row r="99" ht="34" customHeight="1">
      <c r="A99" s="85" t="inlineStr">
        <is>
          <t>15</t>
        </is>
      </c>
      <c r="B99" s="86" t="inlineStr">
        <is>
          <t>Phase 6 — Deployment + Jobs</t>
        </is>
      </c>
      <c r="C99" s="87" t="inlineStr">
        <is>
          <t>—</t>
        </is>
      </c>
      <c r="D99" s="88" t="inlineStr">
        <is>
          <t>Job Prep</t>
        </is>
      </c>
      <c r="E99" s="89" t="inlineStr">
        <is>
          <t>Apply Round 1</t>
        </is>
      </c>
      <c r="F99" s="60" t="inlineStr">
        <is>
          <t>Apply to 10 jobs on LinkedIn + Naukri with tailored resume + cover note</t>
        </is>
      </c>
      <c r="G99" s="61" t="inlineStr">
        <is>
          <t>Medium</t>
        </is>
      </c>
      <c r="H99" s="62" t="inlineStr">
        <is>
          <t>Not Started</t>
        </is>
      </c>
      <c r="I99" s="63" t="n"/>
      <c r="J99" s="63" t="n"/>
      <c r="K99" s="63" t="n"/>
      <c r="L99" s="61" t="n"/>
      <c r="M99" s="64" t="inlineStr"/>
    </row>
    <row r="100" ht="34" customHeight="1">
      <c r="A100" s="85" t="inlineStr">
        <is>
          <t>16</t>
        </is>
      </c>
      <c r="B100" s="86" t="inlineStr">
        <is>
          <t>Phase 6 — Deployment + Jobs</t>
        </is>
      </c>
      <c r="C100" s="87" t="inlineStr">
        <is>
          <t>—</t>
        </is>
      </c>
      <c r="D100" s="88" t="inlineStr">
        <is>
          <t>Job Prep</t>
        </is>
      </c>
      <c r="E100" s="89" t="inlineStr">
        <is>
          <t>Apply Round 2</t>
        </is>
      </c>
      <c r="F100" s="60" t="inlineStr">
        <is>
          <t>10 more applications, ask connections for referrals, follow up after 1 week</t>
        </is>
      </c>
      <c r="G100" s="61" t="inlineStr">
        <is>
          <t>Medium</t>
        </is>
      </c>
      <c r="H100" s="62" t="inlineStr">
        <is>
          <t>Not Started</t>
        </is>
      </c>
      <c r="I100" s="63" t="n"/>
      <c r="J100" s="63" t="n"/>
      <c r="K100" s="63" t="n"/>
      <c r="L100" s="61" t="n"/>
      <c r="M100" s="64" t="inlineStr"/>
    </row>
    <row r="101" ht="34" customHeight="1">
      <c r="A101" s="85" t="inlineStr">
        <is>
          <t>17</t>
        </is>
      </c>
      <c r="B101" s="86" t="inlineStr">
        <is>
          <t>Phase 6 — Deployment + Jobs</t>
        </is>
      </c>
      <c r="C101" s="87" t="inlineStr">
        <is>
          <t>—</t>
        </is>
      </c>
      <c r="D101" s="88" t="inlineStr">
        <is>
          <t>Interview Prep</t>
        </is>
      </c>
      <c r="E101" s="89" t="inlineStr">
        <is>
          <t>Mock: TODO App System</t>
        </is>
      </c>
      <c r="F101" s="60" t="inlineStr">
        <is>
          <t>Explain architecture, DB schema design, auth flow, Prisma decisions, trade-offs</t>
        </is>
      </c>
      <c r="G101" s="61" t="inlineStr">
        <is>
          <t>Medium</t>
        </is>
      </c>
      <c r="H101" s="62" t="inlineStr">
        <is>
          <t>Not Started</t>
        </is>
      </c>
      <c r="I101" s="63" t="n"/>
      <c r="J101" s="63" t="n"/>
      <c r="K101" s="63" t="n"/>
      <c r="L101" s="61" t="n"/>
      <c r="M101" s="64" t="inlineStr"/>
    </row>
    <row r="102" ht="34" customHeight="1">
      <c r="A102" s="85" t="inlineStr">
        <is>
          <t>18</t>
        </is>
      </c>
      <c r="B102" s="86" t="inlineStr">
        <is>
          <t>Phase 6 — Deployment + Jobs</t>
        </is>
      </c>
      <c r="C102" s="87" t="inlineStr">
        <is>
          <t>—</t>
        </is>
      </c>
      <c r="D102" s="88" t="inlineStr">
        <is>
          <t>Interview Prep</t>
        </is>
      </c>
      <c r="E102" s="89" t="inlineStr">
        <is>
          <t>Mock: Doc QnA AI Flow</t>
        </is>
      </c>
      <c r="F102" s="60" t="inlineStr">
        <is>
          <t>Explain RAG pipeline step-by-step, embedding strategy, why FAISS, LangChain role</t>
        </is>
      </c>
      <c r="G102" s="61" t="inlineStr">
        <is>
          <t>Medium</t>
        </is>
      </c>
      <c r="H102" s="62" t="inlineStr">
        <is>
          <t>Not Started</t>
        </is>
      </c>
      <c r="I102" s="63" t="n"/>
      <c r="J102" s="63" t="n"/>
      <c r="K102" s="63" t="n"/>
      <c r="L102" s="61" t="n"/>
      <c r="M102" s="64" t="inlineStr"/>
    </row>
    <row r="103" ht="34" customHeight="1">
      <c r="A103" s="85" t="inlineStr">
        <is>
          <t>19</t>
        </is>
      </c>
      <c r="B103" s="86" t="inlineStr">
        <is>
          <t>Phase 6 — Deployment + Jobs</t>
        </is>
      </c>
      <c r="C103" s="87" t="inlineStr">
        <is>
          <t>—</t>
        </is>
      </c>
      <c r="D103" s="88" t="inlineStr">
        <is>
          <t>Interview Prep</t>
        </is>
      </c>
      <c r="E103" s="89" t="inlineStr">
        <is>
          <t>DSA Prep</t>
        </is>
      </c>
      <c r="F103" s="60" t="inlineStr">
        <is>
          <t>Arrays, strings, hashmaps — solve 20 easy LeetCode problems, time yourself</t>
        </is>
      </c>
      <c r="G103" s="61" t="inlineStr">
        <is>
          <t>Medium</t>
        </is>
      </c>
      <c r="H103" s="62" t="inlineStr">
        <is>
          <t>Not Started</t>
        </is>
      </c>
      <c r="I103" s="63" t="n"/>
      <c r="J103" s="63" t="n"/>
      <c r="K103" s="63" t="n"/>
      <c r="L103" s="61" t="n"/>
      <c r="M103" s="64" t="inlineStr"/>
    </row>
    <row r="104" ht="34" customHeight="1">
      <c r="A104" s="85" t="inlineStr">
        <is>
          <t>20</t>
        </is>
      </c>
      <c r="B104" s="86" t="inlineStr">
        <is>
          <t>Phase 6 — Deployment + Jobs</t>
        </is>
      </c>
      <c r="C104" s="87" t="inlineStr">
        <is>
          <t>—</t>
        </is>
      </c>
      <c r="D104" s="88" t="inlineStr">
        <is>
          <t>Interview Prep</t>
        </is>
      </c>
      <c r="E104" s="89" t="inlineStr">
        <is>
          <t>HR Questions</t>
        </is>
      </c>
      <c r="F104" s="60" t="inlineStr">
        <is>
          <t>Tell me about yourself, strengths, why this role, salary expectations, notice period</t>
        </is>
      </c>
      <c r="G104" s="61" t="inlineStr">
        <is>
          <t>Medium</t>
        </is>
      </c>
      <c r="H104" s="62" t="inlineStr">
        <is>
          <t>Not Started</t>
        </is>
      </c>
      <c r="I104" s="63" t="n"/>
      <c r="J104" s="63" t="n"/>
      <c r="K104" s="63" t="n"/>
      <c r="L104" s="61" t="n"/>
      <c r="M104" s="64" t="inlineStr"/>
    </row>
  </sheetData>
  <mergeCells count="1">
    <mergeCell ref="A1:M1"/>
  </mergeCells>
  <conditionalFormatting sqref="A4:M104">
    <cfRule type="expression" priority="1" dxfId="0" stopIfTrue="1">
      <formula>$H4="Done"</formula>
    </cfRule>
    <cfRule type="expression" priority="2" dxfId="1" stopIfTrue="1">
      <formula>$H4="In Progress"</formula>
    </cfRule>
    <cfRule type="expression" priority="3" dxfId="2" stopIfTrue="1">
      <formula>$H4="Blocked"</formula>
    </cfRule>
    <cfRule type="expression" priority="4" dxfId="3" stopIfTrue="1">
      <formula>$H4="Skipped"</formula>
    </cfRule>
  </conditionalFormatting>
  <dataValidations count="2">
    <dataValidation sqref="H4:H104" showDropDown="0" showInputMessage="0" showErrorMessage="0" allowBlank="1" type="list">
      <formula1>"Not Started,In Progress,Done,Blocked,Skipped"</formula1>
    </dataValidation>
    <dataValidation sqref="G4:G10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B8C00"/>
    <outlinePr summaryBelow="1" summaryRight="1"/>
    <pageSetUpPr/>
  </sheetPr>
  <dimension ref="A1:P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8" customWidth="1" min="4" max="4"/>
    <col width="35" customWidth="1" min="5" max="5"/>
    <col width="35" customWidth="1" min="6" max="6"/>
    <col width="2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14" customWidth="1" min="15" max="15"/>
    <col width="30" customWidth="1" min="16" max="16"/>
  </cols>
  <sheetData>
    <row r="1" ht="42" customHeight="1">
      <c r="A1" s="90" t="inlineStr">
        <is>
          <t>Weekly Log — Track What You Do Each Week</t>
        </is>
      </c>
    </row>
    <row r="2" ht="8" customHeight="1"/>
    <row r="3" ht="28" customHeight="1">
      <c r="A3" s="91" t="inlineStr">
        <is>
          <t>Wk</t>
        </is>
      </c>
      <c r="B3" s="91" t="inlineStr">
        <is>
          <t>Dates</t>
        </is>
      </c>
      <c r="C3" s="91" t="inlineStr">
        <is>
          <t>Phase</t>
        </is>
      </c>
      <c r="D3" s="91" t="inlineStr">
        <is>
          <t>Weekly Goal</t>
        </is>
      </c>
      <c r="E3" s="91" t="inlineStr">
        <is>
          <t>What I Completed</t>
        </is>
      </c>
      <c r="F3" s="91" t="inlineStr">
        <is>
          <t>What I'm Stuck On</t>
        </is>
      </c>
      <c r="G3" s="91" t="inlineStr">
        <is>
          <t>Key Learning</t>
        </is>
      </c>
      <c r="H3" s="91" t="inlineStr">
        <is>
          <t>Mon</t>
        </is>
      </c>
      <c r="I3" s="91" t="inlineStr">
        <is>
          <t>Tue</t>
        </is>
      </c>
      <c r="J3" s="91" t="inlineStr">
        <is>
          <t>Wed</t>
        </is>
      </c>
      <c r="K3" s="91" t="inlineStr">
        <is>
          <t>Thu</t>
        </is>
      </c>
      <c r="L3" s="91" t="inlineStr">
        <is>
          <t>Fri</t>
        </is>
      </c>
      <c r="M3" s="91" t="inlineStr">
        <is>
          <t>Sat</t>
        </is>
      </c>
      <c r="N3" s="91" t="inlineStr">
        <is>
          <t>Total Hrs</t>
        </is>
      </c>
      <c r="O3" s="91" t="inlineStr">
        <is>
          <t>Status</t>
        </is>
      </c>
      <c r="P3" s="91" t="inlineStr">
        <is>
          <t>Notes</t>
        </is>
      </c>
    </row>
    <row r="4" ht="40" customHeight="1">
      <c r="A4" s="92" t="inlineStr">
        <is>
          <t>W1</t>
        </is>
      </c>
      <c r="B4" s="93" t="inlineStr">
        <is>
          <t>14 Jul – 20 Jul</t>
        </is>
      </c>
      <c r="C4" s="94" t="inlineStr">
        <is>
          <t>Phase 1 — Foundation</t>
        </is>
      </c>
      <c r="D4" s="95" t="inlineStr"/>
      <c r="E4" s="96" t="inlineStr"/>
      <c r="F4" s="97" t="inlineStr"/>
      <c r="G4" s="98" t="inlineStr"/>
      <c r="H4" s="99" t="n"/>
      <c r="I4" s="99" t="n"/>
      <c r="J4" s="99" t="n"/>
      <c r="K4" s="99" t="n"/>
      <c r="L4" s="99" t="n"/>
      <c r="M4" s="99" t="n"/>
      <c r="N4" s="100">
        <f>SUM(H4:M4)</f>
        <v/>
      </c>
      <c r="O4" s="62" t="inlineStr">
        <is>
          <t>Not Started</t>
        </is>
      </c>
      <c r="P4" s="64" t="inlineStr"/>
    </row>
    <row r="5" ht="40" customHeight="1">
      <c r="A5" s="92" t="inlineStr">
        <is>
          <t>W2</t>
        </is>
      </c>
      <c r="B5" s="93" t="inlineStr">
        <is>
          <t>21 Jul – 27 Jul</t>
        </is>
      </c>
      <c r="C5" s="94" t="inlineStr">
        <is>
          <t>Phase 1 — Foundation</t>
        </is>
      </c>
      <c r="D5" s="95" t="inlineStr"/>
      <c r="E5" s="96" t="inlineStr"/>
      <c r="F5" s="97" t="inlineStr"/>
      <c r="G5" s="98" t="inlineStr"/>
      <c r="H5" s="99" t="n"/>
      <c r="I5" s="99" t="n"/>
      <c r="J5" s="99" t="n"/>
      <c r="K5" s="99" t="n"/>
      <c r="L5" s="99" t="n"/>
      <c r="M5" s="99" t="n"/>
      <c r="N5" s="100">
        <f>SUM(H5:M5)</f>
        <v/>
      </c>
      <c r="O5" s="62" t="inlineStr">
        <is>
          <t>Not Started</t>
        </is>
      </c>
      <c r="P5" s="64" t="inlineStr"/>
    </row>
    <row r="6" ht="40" customHeight="1">
      <c r="A6" s="92" t="inlineStr">
        <is>
          <t>W3</t>
        </is>
      </c>
      <c r="B6" s="93" t="inlineStr">
        <is>
          <t>28 Jul – 3 Aug</t>
        </is>
      </c>
      <c r="C6" s="94" t="inlineStr">
        <is>
          <t>Phase 1 — Foundation</t>
        </is>
      </c>
      <c r="D6" s="95" t="inlineStr"/>
      <c r="E6" s="96" t="inlineStr"/>
      <c r="F6" s="97" t="inlineStr"/>
      <c r="G6" s="98" t="inlineStr"/>
      <c r="H6" s="99" t="n"/>
      <c r="I6" s="99" t="n"/>
      <c r="J6" s="99" t="n"/>
      <c r="K6" s="99" t="n"/>
      <c r="L6" s="99" t="n"/>
      <c r="M6" s="99" t="n"/>
      <c r="N6" s="100">
        <f>SUM(H6:M6)</f>
        <v/>
      </c>
      <c r="O6" s="62" t="inlineStr">
        <is>
          <t>Not Started</t>
        </is>
      </c>
      <c r="P6" s="64" t="inlineStr"/>
    </row>
    <row r="7" ht="40" customHeight="1">
      <c r="A7" s="101" t="inlineStr">
        <is>
          <t>W4</t>
        </is>
      </c>
      <c r="B7" s="102" t="inlineStr">
        <is>
          <t>4 Aug – 10 Aug</t>
        </is>
      </c>
      <c r="C7" s="103" t="inlineStr">
        <is>
          <t>Phase 2 — Backend</t>
        </is>
      </c>
      <c r="D7" s="95" t="inlineStr"/>
      <c r="E7" s="96" t="inlineStr"/>
      <c r="F7" s="97" t="inlineStr"/>
      <c r="G7" s="98" t="inlineStr"/>
      <c r="H7" s="99" t="n"/>
      <c r="I7" s="99" t="n"/>
      <c r="J7" s="99" t="n"/>
      <c r="K7" s="99" t="n"/>
      <c r="L7" s="99" t="n"/>
      <c r="M7" s="99" t="n"/>
      <c r="N7" s="100">
        <f>SUM(H7:M7)</f>
        <v/>
      </c>
      <c r="O7" s="62" t="inlineStr">
        <is>
          <t>Not Started</t>
        </is>
      </c>
      <c r="P7" s="64" t="inlineStr"/>
    </row>
    <row r="8" ht="40" customHeight="1">
      <c r="A8" s="101" t="inlineStr">
        <is>
          <t>W5</t>
        </is>
      </c>
      <c r="B8" s="102" t="inlineStr">
        <is>
          <t>11 Aug – 17 Aug</t>
        </is>
      </c>
      <c r="C8" s="103" t="inlineStr">
        <is>
          <t>Phase 2 — Backend</t>
        </is>
      </c>
      <c r="D8" s="95" t="inlineStr"/>
      <c r="E8" s="96" t="inlineStr"/>
      <c r="F8" s="97" t="inlineStr"/>
      <c r="G8" s="98" t="inlineStr"/>
      <c r="H8" s="99" t="n"/>
      <c r="I8" s="99" t="n"/>
      <c r="J8" s="99" t="n"/>
      <c r="K8" s="99" t="n"/>
      <c r="L8" s="99" t="n"/>
      <c r="M8" s="99" t="n"/>
      <c r="N8" s="100">
        <f>SUM(H8:M8)</f>
        <v/>
      </c>
      <c r="O8" s="62" t="inlineStr">
        <is>
          <t>Not Started</t>
        </is>
      </c>
      <c r="P8" s="64" t="inlineStr"/>
    </row>
    <row r="9" ht="40" customHeight="1">
      <c r="A9" s="101" t="inlineStr">
        <is>
          <t>W6</t>
        </is>
      </c>
      <c r="B9" s="102" t="inlineStr">
        <is>
          <t>18 Aug – 24 Aug</t>
        </is>
      </c>
      <c r="C9" s="103" t="inlineStr">
        <is>
          <t>Phase 2 — Backend</t>
        </is>
      </c>
      <c r="D9" s="95" t="inlineStr"/>
      <c r="E9" s="96" t="inlineStr"/>
      <c r="F9" s="97" t="inlineStr"/>
      <c r="G9" s="98" t="inlineStr"/>
      <c r="H9" s="99" t="n"/>
      <c r="I9" s="99" t="n"/>
      <c r="J9" s="99" t="n"/>
      <c r="K9" s="99" t="n"/>
      <c r="L9" s="99" t="n"/>
      <c r="M9" s="99" t="n"/>
      <c r="N9" s="100">
        <f>SUM(H9:M9)</f>
        <v/>
      </c>
      <c r="O9" s="62" t="inlineStr">
        <is>
          <t>Not Started</t>
        </is>
      </c>
      <c r="P9" s="64" t="inlineStr"/>
    </row>
    <row r="10" ht="40" customHeight="1">
      <c r="A10" s="104" t="inlineStr">
        <is>
          <t>W7</t>
        </is>
      </c>
      <c r="B10" s="105" t="inlineStr">
        <is>
          <t>25 Aug – 31 Aug</t>
        </is>
      </c>
      <c r="C10" s="106" t="inlineStr">
        <is>
          <t>Phase 3 — Full Stack</t>
        </is>
      </c>
      <c r="D10" s="95" t="inlineStr"/>
      <c r="E10" s="96" t="inlineStr"/>
      <c r="F10" s="97" t="inlineStr"/>
      <c r="G10" s="98" t="inlineStr"/>
      <c r="H10" s="99" t="n"/>
      <c r="I10" s="99" t="n"/>
      <c r="J10" s="99" t="n"/>
      <c r="K10" s="99" t="n"/>
      <c r="L10" s="99" t="n"/>
      <c r="M10" s="99" t="n"/>
      <c r="N10" s="100">
        <f>SUM(H10:M10)</f>
        <v/>
      </c>
      <c r="O10" s="62" t="inlineStr">
        <is>
          <t>Not Started</t>
        </is>
      </c>
      <c r="P10" s="64" t="inlineStr"/>
    </row>
    <row r="11" ht="40" customHeight="1">
      <c r="A11" s="104" t="inlineStr">
        <is>
          <t>W8</t>
        </is>
      </c>
      <c r="B11" s="105" t="inlineStr">
        <is>
          <t>1 Sep – 7 Sep</t>
        </is>
      </c>
      <c r="C11" s="106" t="inlineStr">
        <is>
          <t>Phase 3 — Full Stack</t>
        </is>
      </c>
      <c r="D11" s="95" t="inlineStr"/>
      <c r="E11" s="96" t="inlineStr"/>
      <c r="F11" s="97" t="inlineStr"/>
      <c r="G11" s="98" t="inlineStr"/>
      <c r="H11" s="99" t="n"/>
      <c r="I11" s="99" t="n"/>
      <c r="J11" s="99" t="n"/>
      <c r="K11" s="99" t="n"/>
      <c r="L11" s="99" t="n"/>
      <c r="M11" s="99" t="n"/>
      <c r="N11" s="100">
        <f>SUM(H11:M11)</f>
        <v/>
      </c>
      <c r="O11" s="62" t="inlineStr">
        <is>
          <t>Not Started</t>
        </is>
      </c>
      <c r="P11" s="64" t="inlineStr"/>
    </row>
    <row r="12" ht="40" customHeight="1">
      <c r="A12" s="104" t="inlineStr">
        <is>
          <t>W9</t>
        </is>
      </c>
      <c r="B12" s="105" t="inlineStr">
        <is>
          <t>8 Sep – 14 Sep</t>
        </is>
      </c>
      <c r="C12" s="106" t="inlineStr">
        <is>
          <t>Phase 3 — Full Stack</t>
        </is>
      </c>
      <c r="D12" s="95" t="inlineStr"/>
      <c r="E12" s="96" t="inlineStr"/>
      <c r="F12" s="97" t="inlineStr"/>
      <c r="G12" s="98" t="inlineStr"/>
      <c r="H12" s="99" t="n"/>
      <c r="I12" s="99" t="n"/>
      <c r="J12" s="99" t="n"/>
      <c r="K12" s="99" t="n"/>
      <c r="L12" s="99" t="n"/>
      <c r="M12" s="99" t="n"/>
      <c r="N12" s="100">
        <f>SUM(H12:M12)</f>
        <v/>
      </c>
      <c r="O12" s="62" t="inlineStr">
        <is>
          <t>Not Started</t>
        </is>
      </c>
      <c r="P12" s="64" t="inlineStr"/>
    </row>
    <row r="13" ht="40" customHeight="1">
      <c r="A13" s="107" t="inlineStr">
        <is>
          <t>W10</t>
        </is>
      </c>
      <c r="B13" s="108" t="inlineStr">
        <is>
          <t>15 Sep – 21 Sep</t>
        </is>
      </c>
      <c r="C13" s="109" t="inlineStr">
        <is>
          <t>Phase 4 — GenAI</t>
        </is>
      </c>
      <c r="D13" s="95" t="inlineStr"/>
      <c r="E13" s="96" t="inlineStr"/>
      <c r="F13" s="97" t="inlineStr"/>
      <c r="G13" s="98" t="inlineStr"/>
      <c r="H13" s="99" t="n"/>
      <c r="I13" s="99" t="n"/>
      <c r="J13" s="99" t="n"/>
      <c r="K13" s="99" t="n"/>
      <c r="L13" s="99" t="n"/>
      <c r="M13" s="99" t="n"/>
      <c r="N13" s="100">
        <f>SUM(H13:M13)</f>
        <v/>
      </c>
      <c r="O13" s="62" t="inlineStr">
        <is>
          <t>Not Started</t>
        </is>
      </c>
      <c r="P13" s="64" t="inlineStr"/>
    </row>
    <row r="14" ht="40" customHeight="1">
      <c r="A14" s="107" t="inlineStr">
        <is>
          <t>W11</t>
        </is>
      </c>
      <c r="B14" s="108" t="inlineStr">
        <is>
          <t>22 Sep – 28 Sep</t>
        </is>
      </c>
      <c r="C14" s="109" t="inlineStr">
        <is>
          <t>Phase 4 — GenAI</t>
        </is>
      </c>
      <c r="D14" s="95" t="inlineStr"/>
      <c r="E14" s="96" t="inlineStr"/>
      <c r="F14" s="97" t="inlineStr"/>
      <c r="G14" s="98" t="inlineStr"/>
      <c r="H14" s="99" t="n"/>
      <c r="I14" s="99" t="n"/>
      <c r="J14" s="99" t="n"/>
      <c r="K14" s="99" t="n"/>
      <c r="L14" s="99" t="n"/>
      <c r="M14" s="99" t="n"/>
      <c r="N14" s="100">
        <f>SUM(H14:M14)</f>
        <v/>
      </c>
      <c r="O14" s="62" t="inlineStr">
        <is>
          <t>Not Started</t>
        </is>
      </c>
      <c r="P14" s="64" t="inlineStr"/>
    </row>
    <row r="15" ht="40" customHeight="1">
      <c r="A15" s="107" t="inlineStr">
        <is>
          <t>W12</t>
        </is>
      </c>
      <c r="B15" s="108" t="inlineStr">
        <is>
          <t>29 Sep – 5 Oct</t>
        </is>
      </c>
      <c r="C15" s="109" t="inlineStr">
        <is>
          <t>Phase 4 — GenAI</t>
        </is>
      </c>
      <c r="D15" s="95" t="inlineStr"/>
      <c r="E15" s="96" t="inlineStr"/>
      <c r="F15" s="97" t="inlineStr"/>
      <c r="G15" s="98" t="inlineStr"/>
      <c r="H15" s="99" t="n"/>
      <c r="I15" s="99" t="n"/>
      <c r="J15" s="99" t="n"/>
      <c r="K15" s="99" t="n"/>
      <c r="L15" s="99" t="n"/>
      <c r="M15" s="99" t="n"/>
      <c r="N15" s="100">
        <f>SUM(H15:M15)</f>
        <v/>
      </c>
      <c r="O15" s="62" t="inlineStr">
        <is>
          <t>Not Started</t>
        </is>
      </c>
      <c r="P15" s="64" t="inlineStr"/>
    </row>
    <row r="16" ht="40" customHeight="1">
      <c r="A16" s="110" t="inlineStr">
        <is>
          <t>W13</t>
        </is>
      </c>
      <c r="B16" s="111" t="inlineStr">
        <is>
          <t>6 Oct – 12 Oct</t>
        </is>
      </c>
      <c r="C16" s="112" t="inlineStr">
        <is>
          <t>Phase 5 — Interview Project</t>
        </is>
      </c>
      <c r="D16" s="95" t="inlineStr"/>
      <c r="E16" s="96" t="inlineStr"/>
      <c r="F16" s="97" t="inlineStr"/>
      <c r="G16" s="98" t="inlineStr"/>
      <c r="H16" s="99" t="n"/>
      <c r="I16" s="99" t="n"/>
      <c r="J16" s="99" t="n"/>
      <c r="K16" s="99" t="n"/>
      <c r="L16" s="99" t="n"/>
      <c r="M16" s="99" t="n"/>
      <c r="N16" s="100">
        <f>SUM(H16:M16)</f>
        <v/>
      </c>
      <c r="O16" s="62" t="inlineStr">
        <is>
          <t>Not Started</t>
        </is>
      </c>
      <c r="P16" s="64" t="inlineStr"/>
    </row>
    <row r="17" ht="40" customHeight="1">
      <c r="A17" s="110" t="inlineStr">
        <is>
          <t>W14</t>
        </is>
      </c>
      <c r="B17" s="111" t="inlineStr">
        <is>
          <t>13 Oct – 19 Oct</t>
        </is>
      </c>
      <c r="C17" s="112" t="inlineStr">
        <is>
          <t>Phase 5 — Interview Project</t>
        </is>
      </c>
      <c r="D17" s="95" t="inlineStr"/>
      <c r="E17" s="96" t="inlineStr"/>
      <c r="F17" s="97" t="inlineStr"/>
      <c r="G17" s="98" t="inlineStr"/>
      <c r="H17" s="99" t="n"/>
      <c r="I17" s="99" t="n"/>
      <c r="J17" s="99" t="n"/>
      <c r="K17" s="99" t="n"/>
      <c r="L17" s="99" t="n"/>
      <c r="M17" s="99" t="n"/>
      <c r="N17" s="100">
        <f>SUM(H17:M17)</f>
        <v/>
      </c>
      <c r="O17" s="62" t="inlineStr">
        <is>
          <t>Not Started</t>
        </is>
      </c>
      <c r="P17" s="64" t="inlineStr"/>
    </row>
    <row r="18" ht="40" customHeight="1">
      <c r="A18" s="110" t="inlineStr">
        <is>
          <t>W15</t>
        </is>
      </c>
      <c r="B18" s="111" t="inlineStr">
        <is>
          <t>20 Oct – 26 Oct</t>
        </is>
      </c>
      <c r="C18" s="112" t="inlineStr">
        <is>
          <t>Phase 5 — Interview Project</t>
        </is>
      </c>
      <c r="D18" s="95" t="inlineStr"/>
      <c r="E18" s="96" t="inlineStr"/>
      <c r="F18" s="97" t="inlineStr"/>
      <c r="G18" s="98" t="inlineStr"/>
      <c r="H18" s="99" t="n"/>
      <c r="I18" s="99" t="n"/>
      <c r="J18" s="99" t="n"/>
      <c r="K18" s="99" t="n"/>
      <c r="L18" s="99" t="n"/>
      <c r="M18" s="99" t="n"/>
      <c r="N18" s="100">
        <f>SUM(H18:M18)</f>
        <v/>
      </c>
      <c r="O18" s="62" t="inlineStr">
        <is>
          <t>Not Started</t>
        </is>
      </c>
      <c r="P18" s="64" t="inlineStr"/>
    </row>
    <row r="19" ht="40" customHeight="1">
      <c r="A19" s="110" t="inlineStr">
        <is>
          <t>W16</t>
        </is>
      </c>
      <c r="B19" s="111" t="inlineStr">
        <is>
          <t>27 Oct – 2 Nov</t>
        </is>
      </c>
      <c r="C19" s="112" t="inlineStr">
        <is>
          <t>Phase 5 — Interview Project</t>
        </is>
      </c>
      <c r="D19" s="95" t="inlineStr"/>
      <c r="E19" s="96" t="inlineStr"/>
      <c r="F19" s="97" t="inlineStr"/>
      <c r="G19" s="98" t="inlineStr"/>
      <c r="H19" s="99" t="n"/>
      <c r="I19" s="99" t="n"/>
      <c r="J19" s="99" t="n"/>
      <c r="K19" s="99" t="n"/>
      <c r="L19" s="99" t="n"/>
      <c r="M19" s="99" t="n"/>
      <c r="N19" s="100">
        <f>SUM(H19:M19)</f>
        <v/>
      </c>
      <c r="O19" s="62" t="inlineStr">
        <is>
          <t>Not Started</t>
        </is>
      </c>
      <c r="P19" s="64" t="inlineStr"/>
    </row>
    <row r="21" ht="10" customHeight="1"/>
    <row r="22" ht="32" customHeight="1">
      <c r="A22" s="113" t="inlineStr">
        <is>
          <t>TOTAL HOURS LOGGED</t>
        </is>
      </c>
      <c r="N22" s="114">
        <f>SUM(N4:N19)</f>
        <v/>
      </c>
    </row>
  </sheetData>
  <mergeCells count="1">
    <mergeCell ref="A1:P1"/>
  </mergeCells>
  <dataValidations count="1">
    <dataValidation sqref="O4:O19" showDropDown="0" showInputMessage="0" showErrorMessage="0" allowBlank="1" type="list">
      <formula1>"Not Started,In Progress,Done,Skipped"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24AA"/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35" customWidth="1" min="4" max="4"/>
    <col width="4" customWidth="1" min="5" max="5"/>
    <col width="28" customWidth="1" min="6" max="6"/>
    <col width="12" customWidth="1" min="7" max="7"/>
    <col width="35" customWidth="1" min="8" max="8"/>
  </cols>
  <sheetData>
    <row r="1" ht="42" customHeight="1">
      <c r="A1" s="115" t="inlineStr">
        <is>
          <t>Project Tracker — TODO App  &amp;  Document QnA Chatbot</t>
        </is>
      </c>
    </row>
    <row r="2" ht="8" customHeight="1"/>
    <row r="3" ht="32" customHeight="1">
      <c r="B3" s="116" t="inlineStr">
        <is>
          <t>PROJECT 1 — TODO App (Full Stack + AI)</t>
        </is>
      </c>
      <c r="F3" s="117" t="inlineStr">
        <is>
          <t>PROJECT 2 — Document QnA Chatbot</t>
        </is>
      </c>
    </row>
    <row r="4" ht="26" customHeight="1">
      <c r="B4" s="118" t="inlineStr">
        <is>
          <t>Feature / Milestone</t>
        </is>
      </c>
      <c r="C4" s="118" t="inlineStr">
        <is>
          <t>Status</t>
        </is>
      </c>
      <c r="D4" s="118" t="inlineStr">
        <is>
          <t>Notes</t>
        </is>
      </c>
      <c r="F4" s="119" t="inlineStr">
        <is>
          <t>Feature / Milestone</t>
        </is>
      </c>
      <c r="G4" s="119" t="inlineStr">
        <is>
          <t>Status</t>
        </is>
      </c>
      <c r="H4" s="119" t="inlineStr">
        <is>
          <t>Notes</t>
        </is>
      </c>
    </row>
    <row r="5" ht="30" customHeight="1">
      <c r="B5" s="120" t="inlineStr">
        <is>
          <t>Backend: Node.js + Express API</t>
        </is>
      </c>
      <c r="C5" s="121" t="inlineStr"/>
      <c r="D5" s="122" t="inlineStr"/>
      <c r="F5" s="123" t="inlineStr">
        <is>
          <t>Express.js backend project setup</t>
        </is>
      </c>
      <c r="G5" s="124" t="inlineStr"/>
      <c r="H5" s="122" t="inlineStr"/>
    </row>
    <row r="6" ht="30" customHeight="1">
      <c r="B6" s="125" t="inlineStr">
        <is>
          <t>PostgreSQL DB with Prisma ORM</t>
        </is>
      </c>
      <c r="C6" s="126" t="inlineStr"/>
      <c r="D6" s="122" t="inlineStr"/>
      <c r="F6" s="125" t="inlineStr">
        <is>
          <t>File upload (Multer — PDF/TXT)</t>
        </is>
      </c>
      <c r="G6" s="126" t="inlineStr"/>
      <c r="H6" s="122" t="inlineStr"/>
    </row>
    <row r="7" ht="30" customHeight="1">
      <c r="B7" s="120" t="inlineStr">
        <is>
          <t>JWT Authentication (register + login)</t>
        </is>
      </c>
      <c r="C7" s="121" t="inlineStr"/>
      <c r="D7" s="122" t="inlineStr"/>
      <c r="F7" s="123" t="inlineStr">
        <is>
          <t>PDF/TXT parsing</t>
        </is>
      </c>
      <c r="G7" s="124" t="inlineStr"/>
      <c r="H7" s="122" t="inlineStr"/>
    </row>
    <row r="8" ht="30" customHeight="1">
      <c r="B8" s="125" t="inlineStr">
        <is>
          <t>Full CRUD: Tasks (protected routes)</t>
        </is>
      </c>
      <c r="C8" s="126" t="inlineStr"/>
      <c r="D8" s="122" t="inlineStr"/>
      <c r="F8" s="125" t="inlineStr">
        <is>
          <t>Text chunking (LangChain splitter)</t>
        </is>
      </c>
      <c r="G8" s="126" t="inlineStr"/>
      <c r="H8" s="122" t="inlineStr"/>
    </row>
    <row r="9" ht="30" customHeight="1">
      <c r="B9" s="120" t="inlineStr">
        <is>
          <t>Frontend: React + Vite</t>
        </is>
      </c>
      <c r="C9" s="121" t="inlineStr"/>
      <c r="D9" s="122" t="inlineStr"/>
      <c r="F9" s="123" t="inlineStr">
        <is>
          <t>Embeddings (nomic-embed-text)</t>
        </is>
      </c>
      <c r="G9" s="124" t="inlineStr"/>
      <c r="H9" s="122" t="inlineStr"/>
    </row>
    <row r="10" ht="30" customHeight="1">
      <c r="B10" s="125" t="inlineStr">
        <is>
          <t>Tailwind CSS styling</t>
        </is>
      </c>
      <c r="C10" s="126" t="inlineStr"/>
      <c r="D10" s="122" t="inlineStr"/>
      <c r="F10" s="125" t="inlineStr">
        <is>
          <t>FAISS vector store per document</t>
        </is>
      </c>
      <c r="G10" s="126" t="inlineStr"/>
      <c r="H10" s="122" t="inlineStr"/>
    </row>
    <row r="11" ht="30" customHeight="1">
      <c r="B11" s="120" t="inlineStr">
        <is>
          <t>Axios API integration</t>
        </is>
      </c>
      <c r="C11" s="121" t="inlineStr"/>
      <c r="D11" s="122" t="inlineStr"/>
      <c r="F11" s="123" t="inlineStr">
        <is>
          <t>RAG retrieval chain (LangChain JS)</t>
        </is>
      </c>
      <c r="G11" s="124" t="inlineStr"/>
      <c r="H11" s="122" t="inlineStr"/>
    </row>
    <row r="12" ht="30" customHeight="1">
      <c r="B12" s="125" t="inlineStr">
        <is>
          <t>Login / Register UI</t>
        </is>
      </c>
      <c r="C12" s="126" t="inlineStr"/>
      <c r="D12" s="122" t="inlineStr"/>
      <c r="F12" s="125" t="inlineStr">
        <is>
          <t>Ollama LLM response generation</t>
        </is>
      </c>
      <c r="G12" s="126" t="inlineStr"/>
      <c r="H12" s="122" t="inlineStr"/>
    </row>
    <row r="13" ht="30" customHeight="1">
      <c r="B13" s="120" t="inlineStr">
        <is>
          <t>Protected routes (React Router v6)</t>
        </is>
      </c>
      <c r="C13" s="121" t="inlineStr"/>
      <c r="D13" s="122" t="inlineStr"/>
      <c r="F13" s="123" t="inlineStr">
        <is>
          <t>Streaming API response (SSE)</t>
        </is>
      </c>
      <c r="G13" s="124" t="inlineStr"/>
      <c r="H13" s="122" t="inlineStr"/>
    </row>
    <row r="14" ht="30" customHeight="1">
      <c r="B14" s="125" t="inlineStr">
        <is>
          <t>Task list + CRUD UI</t>
        </is>
      </c>
      <c r="C14" s="126" t="inlineStr"/>
      <c r="D14" s="122" t="inlineStr"/>
      <c r="F14" s="125" t="inlineStr">
        <is>
          <t>React chat UI (bubble thread)</t>
        </is>
      </c>
      <c r="G14" s="126" t="inlineStr"/>
      <c r="H14" s="122" t="inlineStr"/>
    </row>
    <row r="15" ht="30" customHeight="1">
      <c r="B15" s="120" t="inlineStr">
        <is>
          <t>AI: Ollama LLM integration</t>
        </is>
      </c>
      <c r="C15" s="121" t="inlineStr"/>
      <c r="D15" s="122" t="inlineStr"/>
      <c r="F15" s="123" t="inlineStr">
        <is>
          <t>File upload panel (drag &amp; drop)</t>
        </is>
      </c>
      <c r="G15" s="124" t="inlineStr"/>
      <c r="H15" s="122" t="inlineStr"/>
    </row>
    <row r="16" ht="30" customHeight="1">
      <c r="B16" s="125" t="inlineStr">
        <is>
          <t>FAISS vector store</t>
        </is>
      </c>
      <c r="C16" s="126" t="inlineStr"/>
      <c r="D16" s="122" t="inlineStr"/>
      <c r="F16" s="125" t="inlineStr">
        <is>
          <t>Streaming typewriter effect in UI</t>
        </is>
      </c>
      <c r="G16" s="126" t="inlineStr"/>
      <c r="H16" s="122" t="inlineStr"/>
    </row>
    <row r="17" ht="30" customHeight="1">
      <c r="B17" s="120" t="inlineStr">
        <is>
          <t>LangChain RAG pipeline</t>
        </is>
      </c>
      <c r="C17" s="121" t="inlineStr"/>
      <c r="D17" s="122" t="inlineStr"/>
      <c r="F17" s="123" t="inlineStr">
        <is>
          <t>Loading + error states</t>
        </is>
      </c>
      <c r="G17" s="124" t="inlineStr"/>
      <c r="H17" s="122" t="inlineStr"/>
    </row>
    <row r="18" ht="30" customHeight="1">
      <c r="B18" s="125" t="inlineStr">
        <is>
          <t>Natural language task input</t>
        </is>
      </c>
      <c r="C18" s="126" t="inlineStr"/>
      <c r="D18" s="122" t="inlineStr"/>
      <c r="F18" s="125" t="inlineStr">
        <is>
          <t>README with architecture diagram</t>
        </is>
      </c>
      <c r="G18" s="126" t="inlineStr"/>
      <c r="H18" s="122" t="inlineStr"/>
    </row>
    <row r="19" ht="30" customHeight="1">
      <c r="B19" s="120" t="inlineStr">
        <is>
          <t>AI smart suggestions feature</t>
        </is>
      </c>
      <c r="C19" s="121" t="inlineStr"/>
      <c r="D19" s="122" t="inlineStr"/>
      <c r="F19" s="123" t="inlineStr">
        <is>
          <t>Full local end-to-end test</t>
        </is>
      </c>
      <c r="G19" s="124" t="inlineStr"/>
      <c r="H19" s="122" t="inlineStr"/>
    </row>
  </sheetData>
  <mergeCells count="3">
    <mergeCell ref="F3:H3"/>
    <mergeCell ref="B3:D3"/>
    <mergeCell ref="A1:H1"/>
  </mergeCells>
  <dataValidations count="2">
    <dataValidation sqref="C5:C19" showDropDown="0" showInputMessage="0" showErrorMessage="0" allowBlank="1" type="list">
      <formula1>"Not Started,In Progress,Done,Blocked"</formula1>
    </dataValidation>
    <dataValidation sqref="G5:G19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949AB"/>
    <outlinePr summaryBelow="1" summaryRight="1"/>
    <pageSetUpPr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4" customWidth="1" min="4" max="4"/>
    <col width="38" customWidth="1" min="5" max="5"/>
    <col width="38" customWidth="1" min="6" max="6"/>
    <col width="18" customWidth="1" min="7" max="7"/>
    <col width="35" customWidth="1" min="8" max="8"/>
  </cols>
  <sheetData>
    <row r="1" ht="42" customHeight="1">
      <c r="A1" s="127" t="inlineStr">
        <is>
          <t>Interview Prep — Topics, Practice Questions &amp; Confidence Tracker</t>
        </is>
      </c>
    </row>
    <row r="2" ht="8" customHeight="1"/>
    <row r="3" ht="30" customHeight="1">
      <c r="A3" s="119" t="inlineStr">
        <is>
          <t>#</t>
        </is>
      </c>
      <c r="B3" s="119" t="inlineStr">
        <is>
          <t>Category</t>
        </is>
      </c>
      <c r="C3" s="119" t="inlineStr">
        <is>
          <t>Topic</t>
        </is>
      </c>
      <c r="D3" s="119" t="inlineStr">
        <is>
          <t>Confidence (1-5)</t>
        </is>
      </c>
      <c r="E3" s="119" t="inlineStr">
        <is>
          <t>Practice Question 1</t>
        </is>
      </c>
      <c r="F3" s="119" t="inlineStr">
        <is>
          <t>Practice Question 2</t>
        </is>
      </c>
      <c r="G3" s="119" t="inlineStr">
        <is>
          <t>Mock Score (1-10)</t>
        </is>
      </c>
      <c r="H3" s="119" t="inlineStr">
        <is>
          <t>Notes / Answers</t>
        </is>
      </c>
    </row>
    <row r="4" ht="40" customHeight="1">
      <c r="A4" s="128" t="inlineStr">
        <is>
          <t>1</t>
        </is>
      </c>
      <c r="B4" s="129" t="inlineStr">
        <is>
          <t>System Design</t>
        </is>
      </c>
      <c r="C4" s="130" t="inlineStr">
        <is>
          <t>Full Stack Architecture</t>
        </is>
      </c>
      <c r="D4" s="131" t="inlineStr"/>
      <c r="E4" s="132" t="inlineStr">
        <is>
          <t>Walk me through the architecture of your TODO app — frontend to DB.</t>
        </is>
      </c>
      <c r="F4" s="132" t="inlineStr">
        <is>
          <t>Why did you choose PostgreSQL over MongoDB for this project?</t>
        </is>
      </c>
      <c r="G4" s="131" t="inlineStr"/>
      <c r="H4" s="133" t="inlineStr"/>
    </row>
    <row r="5" ht="40" customHeight="1">
      <c r="A5" s="128" t="inlineStr">
        <is>
          <t>2</t>
        </is>
      </c>
      <c r="B5" s="129" t="inlineStr">
        <is>
          <t>System Design</t>
        </is>
      </c>
      <c r="C5" s="134" t="inlineStr">
        <is>
          <t>Database Design</t>
        </is>
      </c>
      <c r="D5" s="135" t="inlineStr"/>
      <c r="E5" s="132" t="inlineStr">
        <is>
          <t>Explain the schema — tables, relations, constraints you used.</t>
        </is>
      </c>
      <c r="F5" s="132" t="inlineStr">
        <is>
          <t>What indexes did you add and why?</t>
        </is>
      </c>
      <c r="G5" s="135" t="inlineStr"/>
      <c r="H5" s="133" t="inlineStr"/>
    </row>
    <row r="6" ht="40" customHeight="1">
      <c r="A6" s="128" t="inlineStr">
        <is>
          <t>3</t>
        </is>
      </c>
      <c r="B6" s="129" t="inlineStr">
        <is>
          <t>Backend</t>
        </is>
      </c>
      <c r="C6" s="130" t="inlineStr">
        <is>
          <t>Express.js Middleware</t>
        </is>
      </c>
      <c r="D6" s="131" t="inlineStr"/>
      <c r="E6" s="132" t="inlineStr">
        <is>
          <t>What is middleware? How does the middleware chain work?</t>
        </is>
      </c>
      <c r="F6" s="132" t="inlineStr">
        <is>
          <t>How did you handle authentication in your Express app?</t>
        </is>
      </c>
      <c r="G6" s="131" t="inlineStr"/>
      <c r="H6" s="133" t="inlineStr"/>
    </row>
    <row r="7" ht="40" customHeight="1">
      <c r="A7" s="128" t="inlineStr">
        <is>
          <t>4</t>
        </is>
      </c>
      <c r="B7" s="129" t="inlineStr">
        <is>
          <t>Backend</t>
        </is>
      </c>
      <c r="C7" s="134" t="inlineStr">
        <is>
          <t>JWT Authentication</t>
        </is>
      </c>
      <c r="D7" s="135" t="inlineStr"/>
      <c r="E7" s="132" t="inlineStr">
        <is>
          <t>Explain the full JWT auth flow — register, login, protected route.</t>
        </is>
      </c>
      <c r="F7" s="132" t="inlineStr">
        <is>
          <t>What are the trade-offs between JWT and session-based auth?</t>
        </is>
      </c>
      <c r="G7" s="135" t="inlineStr"/>
      <c r="H7" s="133" t="inlineStr"/>
    </row>
    <row r="8" ht="40" customHeight="1">
      <c r="A8" s="128" t="inlineStr">
        <is>
          <t>5</t>
        </is>
      </c>
      <c r="B8" s="129" t="inlineStr">
        <is>
          <t>Backend</t>
        </is>
      </c>
      <c r="C8" s="130" t="inlineStr">
        <is>
          <t>Prisma ORM</t>
        </is>
      </c>
      <c r="D8" s="131" t="inlineStr"/>
      <c r="E8" s="132" t="inlineStr">
        <is>
          <t>What is an ORM? Why did you use Prisma over raw SQL?</t>
        </is>
      </c>
      <c r="F8" s="132" t="inlineStr">
        <is>
          <t>How does Prisma migration work?</t>
        </is>
      </c>
      <c r="G8" s="131" t="inlineStr"/>
      <c r="H8" s="133" t="inlineStr"/>
    </row>
    <row r="9" ht="40" customHeight="1">
      <c r="A9" s="128" t="inlineStr">
        <is>
          <t>6</t>
        </is>
      </c>
      <c r="B9" s="129" t="inlineStr">
        <is>
          <t>Frontend</t>
        </is>
      </c>
      <c r="C9" s="134" t="inlineStr">
        <is>
          <t>React Hooks</t>
        </is>
      </c>
      <c r="D9" s="135" t="inlineStr"/>
      <c r="E9" s="132" t="inlineStr">
        <is>
          <t>Explain useState and useEffect with a real example from your project.</t>
        </is>
      </c>
      <c r="F9" s="132" t="inlineStr">
        <is>
          <t>What is a custom hook and why did you create one?</t>
        </is>
      </c>
      <c r="G9" s="135" t="inlineStr"/>
      <c r="H9" s="133" t="inlineStr"/>
    </row>
    <row r="10" ht="40" customHeight="1">
      <c r="A10" s="128" t="inlineStr">
        <is>
          <t>7</t>
        </is>
      </c>
      <c r="B10" s="129" t="inlineStr">
        <is>
          <t>Frontend</t>
        </is>
      </c>
      <c r="C10" s="130" t="inlineStr">
        <is>
          <t>State Management</t>
        </is>
      </c>
      <c r="D10" s="131" t="inlineStr"/>
      <c r="E10" s="132" t="inlineStr">
        <is>
          <t>How do you manage auth state across your React app?</t>
        </is>
      </c>
      <c r="F10" s="132" t="inlineStr">
        <is>
          <t>When would you use Context API vs Redux?</t>
        </is>
      </c>
      <c r="G10" s="131" t="inlineStr"/>
      <c r="H10" s="133" t="inlineStr"/>
    </row>
    <row r="11" ht="40" customHeight="1">
      <c r="A11" s="128" t="inlineStr">
        <is>
          <t>8</t>
        </is>
      </c>
      <c r="B11" s="129" t="inlineStr">
        <is>
          <t>Frontend</t>
        </is>
      </c>
      <c r="C11" s="134" t="inlineStr">
        <is>
          <t>API Integration</t>
        </is>
      </c>
      <c r="D11" s="135" t="inlineStr"/>
      <c r="E11" s="132" t="inlineStr">
        <is>
          <t>How does your React app communicate with the backend?</t>
        </is>
      </c>
      <c r="F11" s="132" t="inlineStr">
        <is>
          <t>How did you handle token expiry on the frontend?</t>
        </is>
      </c>
      <c r="G11" s="135" t="inlineStr"/>
      <c r="H11" s="133" t="inlineStr"/>
    </row>
    <row r="12" ht="40" customHeight="1">
      <c r="A12" s="128" t="inlineStr">
        <is>
          <t>9</t>
        </is>
      </c>
      <c r="B12" s="129" t="inlineStr">
        <is>
          <t>GenAI</t>
        </is>
      </c>
      <c r="C12" s="130" t="inlineStr">
        <is>
          <t>What is RAG?</t>
        </is>
      </c>
      <c r="D12" s="131" t="inlineStr"/>
      <c r="E12" s="132" t="inlineStr">
        <is>
          <t>Explain Retrieval-Augmented Generation in simple terms.</t>
        </is>
      </c>
      <c r="F12" s="132" t="inlineStr">
        <is>
          <t>Why is RAG better than just prompting the LLM directly?</t>
        </is>
      </c>
      <c r="G12" s="131" t="inlineStr"/>
      <c r="H12" s="133" t="inlineStr"/>
    </row>
    <row r="13" ht="40" customHeight="1">
      <c r="A13" s="128" t="inlineStr">
        <is>
          <t>10</t>
        </is>
      </c>
      <c r="B13" s="129" t="inlineStr">
        <is>
          <t>GenAI</t>
        </is>
      </c>
      <c r="C13" s="134" t="inlineStr">
        <is>
          <t>Embeddings</t>
        </is>
      </c>
      <c r="D13" s="135" t="inlineStr"/>
      <c r="E13" s="132" t="inlineStr">
        <is>
          <t>What are text embeddings? How do you generate them in your project?</t>
        </is>
      </c>
      <c r="F13" s="132" t="inlineStr">
        <is>
          <t>What is cosine similarity and how is it used in your system?</t>
        </is>
      </c>
      <c r="G13" s="135" t="inlineStr"/>
      <c r="H13" s="133" t="inlineStr"/>
    </row>
    <row r="14" ht="40" customHeight="1">
      <c r="A14" s="128" t="inlineStr">
        <is>
          <t>11</t>
        </is>
      </c>
      <c r="B14" s="129" t="inlineStr">
        <is>
          <t>GenAI</t>
        </is>
      </c>
      <c r="C14" s="130" t="inlineStr">
        <is>
          <t>FAISS</t>
        </is>
      </c>
      <c r="D14" s="131" t="inlineStr"/>
      <c r="E14" s="132" t="inlineStr">
        <is>
          <t>What is FAISS? Why did you choose it over other vector stores?</t>
        </is>
      </c>
      <c r="F14" s="132" t="inlineStr">
        <is>
          <t>How does similaritySearch work in your Document QnA app?</t>
        </is>
      </c>
      <c r="G14" s="131" t="inlineStr"/>
      <c r="H14" s="133" t="inlineStr"/>
    </row>
    <row r="15" ht="40" customHeight="1">
      <c r="A15" s="128" t="inlineStr">
        <is>
          <t>12</t>
        </is>
      </c>
      <c r="B15" s="129" t="inlineStr">
        <is>
          <t>GenAI</t>
        </is>
      </c>
      <c r="C15" s="134" t="inlineStr">
        <is>
          <t>LangChain JS</t>
        </is>
      </c>
      <c r="D15" s="135" t="inlineStr"/>
      <c r="E15" s="132" t="inlineStr">
        <is>
          <t>What role does LangChain play in your system?</t>
        </is>
      </c>
      <c r="F15" s="132" t="inlineStr">
        <is>
          <t>Explain the retrieval chain you built step by step.</t>
        </is>
      </c>
      <c r="G15" s="135" t="inlineStr"/>
      <c r="H15" s="133" t="inlineStr"/>
    </row>
    <row r="16" ht="40" customHeight="1">
      <c r="A16" s="128" t="inlineStr">
        <is>
          <t>13</t>
        </is>
      </c>
      <c r="B16" s="129" t="inlineStr">
        <is>
          <t>GenAI</t>
        </is>
      </c>
      <c r="C16" s="130" t="inlineStr">
        <is>
          <t>Ollama</t>
        </is>
      </c>
      <c r="D16" s="131" t="inlineStr"/>
      <c r="E16" s="132" t="inlineStr">
        <is>
          <t>What is Ollama and why did you run the LLM locally?</t>
        </is>
      </c>
      <c r="F16" s="132" t="inlineStr">
        <is>
          <t>How would you replace Ollama with a cloud LLM like OpenAI?</t>
        </is>
      </c>
      <c r="G16" s="131" t="inlineStr"/>
      <c r="H16" s="133" t="inlineStr"/>
    </row>
    <row r="17" ht="40" customHeight="1">
      <c r="A17" s="128" t="inlineStr">
        <is>
          <t>14</t>
        </is>
      </c>
      <c r="B17" s="129" t="inlineStr">
        <is>
          <t>Deployment</t>
        </is>
      </c>
      <c r="C17" s="134" t="inlineStr">
        <is>
          <t>Vercel + Render</t>
        </is>
      </c>
      <c r="D17" s="135" t="inlineStr"/>
      <c r="E17" s="132" t="inlineStr">
        <is>
          <t>Explain your deployment architecture — what runs where?</t>
        </is>
      </c>
      <c r="F17" s="132" t="inlineStr">
        <is>
          <t>How do frontend and backend communicate in production?</t>
        </is>
      </c>
      <c r="G17" s="135" t="inlineStr"/>
      <c r="H17" s="133" t="inlineStr"/>
    </row>
    <row r="18" ht="40" customHeight="1">
      <c r="A18" s="128" t="inlineStr">
        <is>
          <t>15</t>
        </is>
      </c>
      <c r="B18" s="129" t="inlineStr">
        <is>
          <t>Deployment</t>
        </is>
      </c>
      <c r="C18" s="130" t="inlineStr">
        <is>
          <t>Cloud Database</t>
        </is>
      </c>
      <c r="D18" s="131" t="inlineStr"/>
      <c r="E18" s="132" t="inlineStr">
        <is>
          <t>Why did you switch from local PostgreSQL to Neon/Supabase?</t>
        </is>
      </c>
      <c r="F18" s="132" t="inlineStr">
        <is>
          <t>How did you handle the migration to the cloud DB?</t>
        </is>
      </c>
      <c r="G18" s="131" t="inlineStr"/>
      <c r="H18" s="133" t="inlineStr"/>
    </row>
    <row r="19" ht="40" customHeight="1">
      <c r="A19" s="128" t="inlineStr">
        <is>
          <t>16</t>
        </is>
      </c>
      <c r="B19" s="129" t="inlineStr">
        <is>
          <t>Soft Skills</t>
        </is>
      </c>
      <c r="C19" s="134" t="inlineStr">
        <is>
          <t>About the Project</t>
        </is>
      </c>
      <c r="D19" s="135" t="inlineStr"/>
      <c r="E19" s="132" t="inlineStr">
        <is>
          <t>Tell me about your Document QnA project — what does it do?</t>
        </is>
      </c>
      <c r="F19" s="132" t="inlineStr">
        <is>
          <t>What was the hardest part of building it and how did you solve it?</t>
        </is>
      </c>
      <c r="G19" s="135" t="inlineStr"/>
      <c r="H19" s="133" t="inlineStr"/>
    </row>
    <row r="20" ht="40" customHeight="1">
      <c r="A20" s="128" t="inlineStr">
        <is>
          <t>17</t>
        </is>
      </c>
      <c r="B20" s="129" t="inlineStr">
        <is>
          <t>Soft Skills</t>
        </is>
      </c>
      <c r="C20" s="130" t="inlineStr">
        <is>
          <t>Tech Decisions</t>
        </is>
      </c>
      <c r="D20" s="131" t="inlineStr"/>
      <c r="E20" s="132" t="inlineStr">
        <is>
          <t>Why did you choose Node.js over Python for your backend?</t>
        </is>
      </c>
      <c r="F20" s="132" t="inlineStr">
        <is>
          <t>What would you do differently if you rebuilt this project?</t>
        </is>
      </c>
      <c r="G20" s="131" t="inlineStr"/>
      <c r="H20" s="133" t="inlineStr"/>
    </row>
    <row r="21" ht="40" customHeight="1">
      <c r="A21" s="128" t="inlineStr">
        <is>
          <t>18</t>
        </is>
      </c>
      <c r="B21" s="129" t="inlineStr">
        <is>
          <t>Soft Skills</t>
        </is>
      </c>
      <c r="C21" s="134" t="inlineStr">
        <is>
          <t>Learning Journey</t>
        </is>
      </c>
      <c r="D21" s="135" t="inlineStr"/>
      <c r="E21" s="132" t="inlineStr">
        <is>
          <t>How did you learn all of this? What resources did you use?</t>
        </is>
      </c>
      <c r="F21" s="132" t="inlineStr">
        <is>
          <t>Where do you see yourself in 2 years as a Full Stack + AI engineer?</t>
        </is>
      </c>
      <c r="G21" s="135" t="inlineStr"/>
      <c r="H21" s="133" t="inlineStr"/>
    </row>
    <row r="22" ht="40" customHeight="1">
      <c r="A22" s="128" t="inlineStr">
        <is>
          <t>19</t>
        </is>
      </c>
      <c r="B22" s="129" t="inlineStr">
        <is>
          <t>DSA</t>
        </is>
      </c>
      <c r="C22" s="130" t="inlineStr">
        <is>
          <t>Arrays &amp; Strings</t>
        </is>
      </c>
      <c r="D22" s="131" t="inlineStr"/>
      <c r="E22" s="132" t="inlineStr">
        <is>
          <t>Find the two numbers in an array that sum to a target.</t>
        </is>
      </c>
      <c r="F22" s="132" t="inlineStr">
        <is>
          <t>Reverse words in a sentence without using split().</t>
        </is>
      </c>
      <c r="G22" s="131" t="inlineStr"/>
      <c r="H22" s="133" t="inlineStr"/>
    </row>
    <row r="23" ht="40" customHeight="1">
      <c r="A23" s="128" t="inlineStr">
        <is>
          <t>20</t>
        </is>
      </c>
      <c r="B23" s="129" t="inlineStr">
        <is>
          <t>DSA</t>
        </is>
      </c>
      <c r="C23" s="134" t="inlineStr">
        <is>
          <t>Hash Maps</t>
        </is>
      </c>
      <c r="D23" s="135" t="inlineStr"/>
      <c r="E23" s="132" t="inlineStr">
        <is>
          <t>Find the first non-repeating character in a string.</t>
        </is>
      </c>
      <c r="F23" s="132" t="inlineStr">
        <is>
          <t>Group anagrams from an array of strings.</t>
        </is>
      </c>
      <c r="G23" s="135" t="inlineStr"/>
      <c r="H23" s="133" t="inlineStr"/>
    </row>
  </sheetData>
  <mergeCells count="1">
    <mergeCell ref="A1:H1"/>
  </mergeCells>
  <conditionalFormatting sqref="D4:D23">
    <cfRule type="expression" priority="1" dxfId="4" stopIfTrue="1">
      <formula>D4&gt;=4</formula>
    </cfRule>
    <cfRule type="expression" priority="2" dxfId="5" stopIfTrue="1">
      <formula>D4&lt;=2</formula>
    </cfRule>
  </conditionalFormatting>
  <dataValidations count="2">
    <dataValidation sqref="D4:D23" showDropDown="0" showInputMessage="0" showErrorMessage="0" allowBlank="1" type="list">
      <formula1>"1,2,3,4,5"</formula1>
    </dataValidation>
    <dataValidation sqref="G4:G23" showDropDown="0" showInputMessage="0" showErrorMessage="0" allowBlank="1" type="list">
      <formula1>"1,2,3,4,5,6,7,8,9,10"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2026-05-03T11:05:54Z</dcterms:created>
  <dcterms:modified xmlns:dcterms="http://purl.org/dc/terms/" xmlns:xsi="http://www.w3.org/2001/XMLSchema-instance" xsi:type="dcterms:W3CDTF">2026-05-03T11:05:54Z</dcterms:modified>
</cp:coreProperties>
</file>